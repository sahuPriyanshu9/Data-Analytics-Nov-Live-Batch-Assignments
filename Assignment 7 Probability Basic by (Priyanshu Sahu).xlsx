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uh\OneDrive\Desktop\Data Analytics By Pw\Statistics day 2\Probability Basic\"/>
    </mc:Choice>
  </mc:AlternateContent>
  <xr:revisionPtr revIDLastSave="0" documentId="8_{DB33CE3D-C9A1-46E3-A82B-C17E1890185D}" xr6:coauthVersionLast="47" xr6:coauthVersionMax="47" xr10:uidLastSave="{00000000-0000-0000-0000-000000000000}"/>
  <bookViews>
    <workbookView xWindow="-108" yWindow="-108" windowWidth="23256" windowHeight="12456" activeTab="1" xr2:uid="{B5AB999B-CF2A-41D8-A0E1-DD4769BCFD2A}"/>
  </bookViews>
  <sheets>
    <sheet name="Question 1,2,3,4" sheetId="1" r:id="rId1"/>
    <sheet name="Question 5,6,7,8,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O17" i="2"/>
  <c r="O26" i="2"/>
  <c r="O9" i="2"/>
  <c r="G6" i="2"/>
  <c r="C24" i="1"/>
  <c r="M10" i="1"/>
  <c r="B17" i="1"/>
  <c r="B11" i="1"/>
</calcChain>
</file>

<file path=xl/sharedStrings.xml><?xml version="1.0" encoding="utf-8"?>
<sst xmlns="http://schemas.openxmlformats.org/spreadsheetml/2006/main" count="43" uniqueCount="41">
  <si>
    <t>Probability of Getting Even NO.</t>
  </si>
  <si>
    <t>2,4,6</t>
  </si>
  <si>
    <t>favourable outcome</t>
  </si>
  <si>
    <t>Even No.</t>
  </si>
  <si>
    <t>Die Has 6 side</t>
  </si>
  <si>
    <t>3 side even</t>
  </si>
  <si>
    <t>3 side odd</t>
  </si>
  <si>
    <t>1,3,5</t>
  </si>
  <si>
    <t>total outcome</t>
  </si>
  <si>
    <t>A number greater than 4</t>
  </si>
  <si>
    <t>5,6</t>
  </si>
  <si>
    <t>Favourable outcome</t>
  </si>
  <si>
    <t>toatl oucome</t>
  </si>
  <si>
    <t>Probability Of Getting Greater Than 4</t>
  </si>
  <si>
    <t>Mathematics</t>
  </si>
  <si>
    <t>Science</t>
  </si>
  <si>
    <t>Both Subject</t>
  </si>
  <si>
    <t>Total</t>
  </si>
  <si>
    <t>Total student</t>
  </si>
  <si>
    <t>Probability of student Chosen random</t>
  </si>
  <si>
    <t>Probability Next Red Ball</t>
  </si>
  <si>
    <t>Sample Error</t>
  </si>
  <si>
    <t>Sample mean</t>
  </si>
  <si>
    <t>Population Mean</t>
  </si>
  <si>
    <t xml:space="preserve"> </t>
  </si>
  <si>
    <t>Cricket</t>
  </si>
  <si>
    <t>Fotball</t>
  </si>
  <si>
    <t>Both</t>
  </si>
  <si>
    <t>Probability</t>
  </si>
  <si>
    <t>Defective Rate</t>
  </si>
  <si>
    <t>Random Bulb Chosen</t>
  </si>
  <si>
    <t>non Defective Rate</t>
  </si>
  <si>
    <t xml:space="preserve"> σ </t>
  </si>
  <si>
    <t>Sample Size(n)</t>
  </si>
  <si>
    <t>Probability first card is Ace:</t>
  </si>
  <si>
    <t>Probability second card is Ace (without replacement):</t>
  </si>
  <si>
    <t>"3/52"</t>
  </si>
  <si>
    <t>"4/52"</t>
  </si>
  <si>
    <t>probability(both)</t>
  </si>
  <si>
    <t>SEM</t>
  </si>
  <si>
    <t>4/52*3/51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</si>
</sst>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17" fontId="0" fillId="3" borderId="0" xfId="0" applyNumberFormat="1" applyFill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9" fontId="0" fillId="7" borderId="2" xfId="0" applyNumberFormat="1" applyFill="1" applyBorder="1"/>
    <xf numFmtId="9" fontId="0" fillId="7" borderId="1" xfId="0" applyNumberFormat="1" applyFill="1" applyBorder="1"/>
    <xf numFmtId="0" fontId="0" fillId="7" borderId="3" xfId="0" applyFill="1" applyBorder="1"/>
    <xf numFmtId="0" fontId="0" fillId="6" borderId="4" xfId="0" applyFill="1" applyBorder="1"/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4" borderId="1" xfId="0" applyFill="1" applyBorder="1"/>
    <xf numFmtId="0" fontId="0" fillId="11" borderId="1" xfId="0" applyFill="1" applyBorder="1"/>
    <xf numFmtId="170" fontId="0" fillId="11" borderId="1" xfId="0" applyNumberFormat="1" applyFill="1" applyBorder="1"/>
    <xf numFmtId="0" fontId="1" fillId="12" borderId="1" xfId="0" applyFont="1" applyFill="1" applyBorder="1"/>
    <xf numFmtId="170" fontId="0" fillId="12" borderId="1" xfId="0" applyNumberFormat="1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99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22860</xdr:rowOff>
    </xdr:from>
    <xdr:to>
      <xdr:col>4</xdr:col>
      <xdr:colOff>594360</xdr:colOff>
      <xdr:row>4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305AFA-0794-277F-F07A-0F4DD0D0C87D}"/>
            </a:ext>
          </a:extLst>
        </xdr:cNvPr>
        <xdr:cNvSpPr txBox="1"/>
      </xdr:nvSpPr>
      <xdr:spPr>
        <a:xfrm>
          <a:off x="22860" y="22860"/>
          <a:ext cx="4792980" cy="77724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1: A die is rolled. What is the probability of getting:</a:t>
          </a:r>
        </a:p>
        <a:p>
          <a:r>
            <a:rPr lang="en-IN" sz="1200"/>
            <a:t> (a) An even number</a:t>
          </a:r>
        </a:p>
        <a:p>
          <a:r>
            <a:rPr lang="en-IN" sz="1200"/>
            <a:t> (b) A number greater than 4</a:t>
          </a:r>
        </a:p>
      </xdr:txBody>
    </xdr:sp>
    <xdr:clientData/>
  </xdr:twoCellAnchor>
  <xdr:twoCellAnchor>
    <xdr:from>
      <xdr:col>6</xdr:col>
      <xdr:colOff>289560</xdr:colOff>
      <xdr:row>0</xdr:row>
      <xdr:rowOff>0</xdr:rowOff>
    </xdr:from>
    <xdr:to>
      <xdr:col>13</xdr:col>
      <xdr:colOff>68580</xdr:colOff>
      <xdr:row>5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2FEDAB-54C7-BB13-5010-E6332E7D0656}"/>
            </a:ext>
          </a:extLst>
        </xdr:cNvPr>
        <xdr:cNvSpPr txBox="1"/>
      </xdr:nvSpPr>
      <xdr:spPr>
        <a:xfrm>
          <a:off x="7437120" y="0"/>
          <a:ext cx="6035040" cy="10591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2: In a class of 50 students:</a:t>
          </a:r>
        </a:p>
        <a:p>
          <a:r>
            <a:rPr lang="en-IN" sz="1200"/>
            <a:t>20 like Mathematics (M)</a:t>
          </a:r>
        </a:p>
        <a:p>
          <a:r>
            <a:rPr lang="en-IN" sz="1200"/>
            <a:t> 15 like Science (S)</a:t>
          </a:r>
        </a:p>
        <a:p>
          <a:r>
            <a:rPr lang="en-IN" sz="1200"/>
            <a:t> 5 like both subjects</a:t>
          </a:r>
        </a:p>
        <a:p>
          <a:r>
            <a:rPr lang="en-IN" sz="1200"/>
            <a:t>What is the probability that a student chosen at random likes Mathematics or Science?</a:t>
          </a:r>
        </a:p>
      </xdr:txBody>
    </xdr:sp>
    <xdr:clientData/>
  </xdr:twoCellAnchor>
  <xdr:twoCellAnchor>
    <xdr:from>
      <xdr:col>9</xdr:col>
      <xdr:colOff>38100</xdr:colOff>
      <xdr:row>8</xdr:row>
      <xdr:rowOff>38100</xdr:rowOff>
    </xdr:from>
    <xdr:to>
      <xdr:col>11</xdr:col>
      <xdr:colOff>495300</xdr:colOff>
      <xdr:row>13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E0D5B-6DDE-00BB-4A77-BD10D2AAD3CA}"/>
            </a:ext>
          </a:extLst>
        </xdr:cNvPr>
        <xdr:cNvSpPr txBox="1"/>
      </xdr:nvSpPr>
      <xdr:spPr>
        <a:xfrm>
          <a:off x="7498080" y="1501140"/>
          <a:ext cx="1874520" cy="103632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Formula to calcualte the probablity  of A or B :</a:t>
          </a:r>
        </a:p>
        <a:p>
          <a:r>
            <a:rPr lang="en-IN" sz="1100"/>
            <a:t>p(a) + p(b) - p(a intersection b)</a:t>
          </a:r>
        </a:p>
      </xdr:txBody>
    </xdr:sp>
    <xdr:clientData/>
  </xdr:twoCellAnchor>
  <xdr:twoCellAnchor>
    <xdr:from>
      <xdr:col>0</xdr:col>
      <xdr:colOff>15240</xdr:colOff>
      <xdr:row>17</xdr:row>
      <xdr:rowOff>175260</xdr:rowOff>
    </xdr:from>
    <xdr:to>
      <xdr:col>4</xdr:col>
      <xdr:colOff>541020</xdr:colOff>
      <xdr:row>21</xdr:row>
      <xdr:rowOff>91440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D71434-614D-9CCF-D1D2-1E0A609B3947}"/>
            </a:ext>
          </a:extLst>
        </xdr:cNvPr>
        <xdr:cNvSpPr txBox="1"/>
      </xdr:nvSpPr>
      <xdr:spPr>
        <a:xfrm>
          <a:off x="15240" y="3284220"/>
          <a:ext cx="6454140" cy="6477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3: A bag has 3 red and 2 blue balls. If one ball is drawn randomly and is red, what is the probability that the next ball is also red (without replacement)?</a:t>
          </a:r>
        </a:p>
      </xdr:txBody>
    </xdr:sp>
    <xdr:clientData/>
  </xdr:twoCellAnchor>
  <xdr:twoCellAnchor>
    <xdr:from>
      <xdr:col>0</xdr:col>
      <xdr:colOff>1958340</xdr:colOff>
      <xdr:row>21</xdr:row>
      <xdr:rowOff>144780</xdr:rowOff>
    </xdr:from>
    <xdr:to>
      <xdr:col>1</xdr:col>
      <xdr:colOff>1379220</xdr:colOff>
      <xdr:row>27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FAF1F7B-FA0C-3494-399C-11A7C546DEA9}"/>
            </a:ext>
          </a:extLst>
        </xdr:cNvPr>
        <xdr:cNvSpPr txBox="1"/>
      </xdr:nvSpPr>
      <xdr:spPr>
        <a:xfrm>
          <a:off x="1958340" y="3985260"/>
          <a:ext cx="1584960" cy="952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First ball drawn is </a:t>
          </a:r>
          <a:r>
            <a:rPr lang="en-IN" sz="1200" b="1"/>
            <a:t>red</a:t>
          </a:r>
          <a:r>
            <a:rPr lang="en-IN" sz="1200"/>
            <a:t>, so remaining balls:</a:t>
          </a:r>
        </a:p>
        <a:p>
          <a:r>
            <a:rPr lang="en-IN" sz="1200"/>
            <a:t> Red Balls:</a:t>
          </a:r>
          <a:r>
            <a:rPr lang="en-IN" sz="1200" baseline="0"/>
            <a:t> 2</a:t>
          </a:r>
        </a:p>
        <a:p>
          <a:r>
            <a:rPr lang="en-IN" sz="1200" baseline="0"/>
            <a:t>Blue Balls : 2</a:t>
          </a:r>
        </a:p>
        <a:p>
          <a:r>
            <a:rPr lang="en-IN" sz="1200" baseline="0"/>
            <a:t>Total Balls 4</a:t>
          </a:r>
        </a:p>
        <a:p>
          <a:endParaRPr lang="en-IN" sz="1100"/>
        </a:p>
      </xdr:txBody>
    </xdr:sp>
    <xdr:clientData/>
  </xdr:twoCellAnchor>
  <xdr:twoCellAnchor>
    <xdr:from>
      <xdr:col>0</xdr:col>
      <xdr:colOff>60960</xdr:colOff>
      <xdr:row>21</xdr:row>
      <xdr:rowOff>144780</xdr:rowOff>
    </xdr:from>
    <xdr:to>
      <xdr:col>0</xdr:col>
      <xdr:colOff>1897380</xdr:colOff>
      <xdr:row>26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68F1E2-BD4D-B9F5-C6A6-5257B7F02C15}"/>
            </a:ext>
          </a:extLst>
        </xdr:cNvPr>
        <xdr:cNvSpPr txBox="1"/>
      </xdr:nvSpPr>
      <xdr:spPr>
        <a:xfrm>
          <a:off x="60960" y="3985260"/>
          <a:ext cx="1836420" cy="9372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initially Bag Has:</a:t>
          </a:r>
        </a:p>
        <a:p>
          <a:r>
            <a:rPr lang="en-IN" sz="1200"/>
            <a:t>Red Balls: 3</a:t>
          </a:r>
        </a:p>
        <a:p>
          <a:r>
            <a:rPr lang="en-IN" sz="1200"/>
            <a:t>Blue Balls: 2</a:t>
          </a:r>
        </a:p>
        <a:p>
          <a:r>
            <a:rPr lang="en-IN" sz="1200"/>
            <a:t>Total Balls : 5</a:t>
          </a:r>
        </a:p>
      </xdr:txBody>
    </xdr:sp>
    <xdr:clientData/>
  </xdr:twoCellAnchor>
  <xdr:twoCellAnchor>
    <xdr:from>
      <xdr:col>6</xdr:col>
      <xdr:colOff>266700</xdr:colOff>
      <xdr:row>14</xdr:row>
      <xdr:rowOff>152400</xdr:rowOff>
    </xdr:from>
    <xdr:to>
      <xdr:col>12</xdr:col>
      <xdr:colOff>1897380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3DFE305-F881-1C52-5ABC-DCE82A2C69C2}"/>
            </a:ext>
          </a:extLst>
        </xdr:cNvPr>
        <xdr:cNvSpPr txBox="1"/>
      </xdr:nvSpPr>
      <xdr:spPr>
        <a:xfrm>
          <a:off x="7414260" y="2712720"/>
          <a:ext cx="5676900" cy="8763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/>
            <a:t>Question 4: The population of a school is divided into 60% boys and 40% girls. If you want equal representation of both genders in the sample, which method should you use: Simple Random Sampling or Stratified Sampling? Why?</a:t>
          </a:r>
        </a:p>
      </xdr:txBody>
    </xdr:sp>
    <xdr:clientData/>
  </xdr:twoCellAnchor>
  <xdr:twoCellAnchor>
    <xdr:from>
      <xdr:col>6</xdr:col>
      <xdr:colOff>320040</xdr:colOff>
      <xdr:row>19</xdr:row>
      <xdr:rowOff>152400</xdr:rowOff>
    </xdr:from>
    <xdr:to>
      <xdr:col>12</xdr:col>
      <xdr:colOff>1874520</xdr:colOff>
      <xdr:row>24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09EBDF-E211-9A04-C68D-0DEF0293B75C}"/>
            </a:ext>
          </a:extLst>
        </xdr:cNvPr>
        <xdr:cNvSpPr txBox="1"/>
      </xdr:nvSpPr>
      <xdr:spPr>
        <a:xfrm>
          <a:off x="7467600" y="3627120"/>
          <a:ext cx="5600700" cy="800100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Answer 4:</a:t>
          </a:r>
          <a:r>
            <a:rPr lang="en-IN" sz="1100" b="1" baseline="0"/>
            <a:t> </a:t>
          </a:r>
          <a:r>
            <a:rPr lang="en-IN" sz="1200" b="1">
              <a:solidFill>
                <a:srgbClr val="00B0F0"/>
              </a:solidFill>
            </a:rPr>
            <a:t>Stratified Sampling</a:t>
          </a:r>
          <a:endParaRPr lang="en-IN" sz="1100" b="1">
            <a:solidFill>
              <a:srgbClr val="00B0F0"/>
            </a:solidFill>
          </a:endParaRPr>
        </a:p>
        <a:p>
          <a:r>
            <a:rPr lang="en-IN" b="1"/>
            <a:t>Why?</a:t>
          </a:r>
          <a:br>
            <a:rPr lang="en-IN"/>
          </a:br>
          <a:r>
            <a:rPr lang="en-IN" b="1">
              <a:solidFill>
                <a:srgbClr val="0070C0"/>
              </a:solidFill>
            </a:rPr>
            <a:t>Because it divides the population into groups (boys &amp; girls) and selects samples proportionally</a:t>
          </a:r>
          <a:endParaRPr lang="en-IN" sz="1100" b="1">
            <a:solidFill>
              <a:srgbClr val="0070C0"/>
            </a:solidFill>
          </a:endParaRP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7620</xdr:rowOff>
    </xdr:from>
    <xdr:to>
      <xdr:col>10</xdr:col>
      <xdr:colOff>53340</xdr:colOff>
      <xdr:row>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495C2-9C5C-62F6-42AB-1B80A5D73304}"/>
            </a:ext>
          </a:extLst>
        </xdr:cNvPr>
        <xdr:cNvSpPr txBox="1"/>
      </xdr:nvSpPr>
      <xdr:spPr>
        <a:xfrm>
          <a:off x="22860" y="7620"/>
          <a:ext cx="7040880" cy="58674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5: The average height of 1000 students = 160 cm. A sample of 100 students shows an average height = 158 cm. Find the sampling error.</a:t>
          </a:r>
        </a:p>
      </xdr:txBody>
    </xdr:sp>
    <xdr:clientData/>
  </xdr:twoCellAnchor>
  <xdr:twoCellAnchor>
    <xdr:from>
      <xdr:col>0</xdr:col>
      <xdr:colOff>38100</xdr:colOff>
      <xdr:row>3</xdr:row>
      <xdr:rowOff>160020</xdr:rowOff>
    </xdr:from>
    <xdr:to>
      <xdr:col>2</xdr:col>
      <xdr:colOff>579120</xdr:colOff>
      <xdr:row>8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803245-6F18-9F07-6217-1A439B8196B7}"/>
            </a:ext>
          </a:extLst>
        </xdr:cNvPr>
        <xdr:cNvSpPr txBox="1"/>
      </xdr:nvSpPr>
      <xdr:spPr>
        <a:xfrm>
          <a:off x="38100" y="708660"/>
          <a:ext cx="1905000" cy="7848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Sampling Error</a:t>
          </a:r>
          <a:r>
            <a:rPr lang="en-IN" sz="1200" baseline="0"/>
            <a:t> Formula:</a:t>
          </a:r>
        </a:p>
        <a:p>
          <a:r>
            <a:rPr lang="en-IN" sz="1200" b="1">
              <a:solidFill>
                <a:schemeClr val="accent2"/>
              </a:solidFill>
            </a:rPr>
            <a:t>= Sample Mean</a:t>
          </a:r>
          <a:r>
            <a:rPr lang="en-IN" sz="1200"/>
            <a:t>−</a:t>
          </a:r>
          <a:r>
            <a:rPr lang="en-IN" sz="1400" b="1">
              <a:solidFill>
                <a:schemeClr val="accent6">
                  <a:lumMod val="60000"/>
                  <a:lumOff val="40000"/>
                </a:schemeClr>
              </a:solidFill>
            </a:rPr>
            <a:t>Population </a:t>
          </a:r>
        </a:p>
        <a:p>
          <a:r>
            <a:rPr lang="en-IN" sz="1400" b="1">
              <a:solidFill>
                <a:schemeClr val="accent6">
                  <a:lumMod val="60000"/>
                  <a:lumOff val="40000"/>
                </a:schemeClr>
              </a:solidFill>
            </a:rPr>
            <a:t>  Mean</a:t>
          </a:r>
        </a:p>
      </xdr:txBody>
    </xdr:sp>
    <xdr:clientData/>
  </xdr:twoCellAnchor>
  <xdr:twoCellAnchor>
    <xdr:from>
      <xdr:col>0</xdr:col>
      <xdr:colOff>45720</xdr:colOff>
      <xdr:row>10</xdr:row>
      <xdr:rowOff>175260</xdr:rowOff>
    </xdr:from>
    <xdr:to>
      <xdr:col>10</xdr:col>
      <xdr:colOff>0</xdr:colOff>
      <xdr:row>14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86C9A8-A13E-F07E-AC34-A1918D70589E}"/>
            </a:ext>
          </a:extLst>
        </xdr:cNvPr>
        <xdr:cNvSpPr txBox="1"/>
      </xdr:nvSpPr>
      <xdr:spPr>
        <a:xfrm>
          <a:off x="45720" y="2004060"/>
          <a:ext cx="6964680" cy="7239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6: The population mean salary is ₹50,000 with </a:t>
          </a:r>
          <a:r>
            <a:rPr lang="el-GR" sz="1200"/>
            <a:t>σ = </a:t>
          </a:r>
          <a:r>
            <a:rPr lang="en-IN" sz="1200"/>
            <a:t>₹5,000. If we take a sample of 100 employees, what is the standard error of the mean (SEM)?</a:t>
          </a:r>
        </a:p>
      </xdr:txBody>
    </xdr:sp>
    <xdr:clientData/>
  </xdr:twoCellAnchor>
  <xdr:twoCellAnchor>
    <xdr:from>
      <xdr:col>10</xdr:col>
      <xdr:colOff>480060</xdr:colOff>
      <xdr:row>0</xdr:row>
      <xdr:rowOff>30480</xdr:rowOff>
    </xdr:from>
    <xdr:to>
      <xdr:col>20</xdr:col>
      <xdr:colOff>45720</xdr:colOff>
      <xdr:row>5</xdr:row>
      <xdr:rowOff>167640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83D0411-06E7-D194-0CFE-DC415F88B1CB}"/>
            </a:ext>
          </a:extLst>
        </xdr:cNvPr>
        <xdr:cNvSpPr txBox="1"/>
      </xdr:nvSpPr>
      <xdr:spPr>
        <a:xfrm>
          <a:off x="7490460" y="30480"/>
          <a:ext cx="6370320" cy="105156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Question 7: In a group of 100 students</a:t>
          </a:r>
        </a:p>
        <a:p>
          <a:r>
            <a:rPr lang="en-IN" sz="1200"/>
            <a:t>40 like Cricket (C) </a:t>
          </a:r>
        </a:p>
        <a:p>
          <a:r>
            <a:rPr lang="en-IN" sz="1200"/>
            <a:t>30 like Football (F) </a:t>
          </a:r>
        </a:p>
        <a:p>
          <a:r>
            <a:rPr lang="en-IN" sz="1200"/>
            <a:t>10 like both Cricket and Football </a:t>
          </a:r>
        </a:p>
        <a:p>
          <a:r>
            <a:rPr lang="en-IN" sz="1200"/>
            <a:t>Find the probability that a student likes at least one sport</a:t>
          </a:r>
        </a:p>
      </xdr:txBody>
    </xdr:sp>
    <xdr:clientData/>
  </xdr:twoCellAnchor>
  <xdr:twoCellAnchor>
    <xdr:from>
      <xdr:col>10</xdr:col>
      <xdr:colOff>426720</xdr:colOff>
      <xdr:row>18</xdr:row>
      <xdr:rowOff>129540</xdr:rowOff>
    </xdr:from>
    <xdr:to>
      <xdr:col>19</xdr:col>
      <xdr:colOff>480060</xdr:colOff>
      <xdr:row>22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CB60E4-1AFE-DE0E-0FC8-E6D82E7D0924}"/>
            </a:ext>
          </a:extLst>
        </xdr:cNvPr>
        <xdr:cNvSpPr txBox="1"/>
      </xdr:nvSpPr>
      <xdr:spPr>
        <a:xfrm>
          <a:off x="7642860" y="3421380"/>
          <a:ext cx="8412480" cy="76962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/>
            <a:t>Question 9: A factory produces bulbs with 2% defective rate. If 5 bulbs are chosen at random, what is the probability that all are non-defective?</a:t>
          </a:r>
        </a:p>
      </xdr:txBody>
    </xdr:sp>
    <xdr:clientData/>
  </xdr:twoCellAnchor>
  <xdr:twoCellAnchor>
    <xdr:from>
      <xdr:col>10</xdr:col>
      <xdr:colOff>480060</xdr:colOff>
      <xdr:row>10</xdr:row>
      <xdr:rowOff>121920</xdr:rowOff>
    </xdr:from>
    <xdr:to>
      <xdr:col>19</xdr:col>
      <xdr:colOff>342900</xdr:colOff>
      <xdr:row>14</xdr:row>
      <xdr:rowOff>106680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88F4A5-9D68-F45D-4084-96FF25C781A3}"/>
            </a:ext>
          </a:extLst>
        </xdr:cNvPr>
        <xdr:cNvSpPr txBox="1"/>
      </xdr:nvSpPr>
      <xdr:spPr>
        <a:xfrm>
          <a:off x="7696200" y="1950720"/>
          <a:ext cx="6057900" cy="7162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/>
            <a:t>Question 8: From a deck of 52 cards, two cards are drawn without replacement. What is the probability that both are Aces?</a:t>
          </a:r>
        </a:p>
      </xdr:txBody>
    </xdr:sp>
    <xdr:clientData/>
  </xdr:twoCellAnchor>
  <xdr:twoCellAnchor>
    <xdr:from>
      <xdr:col>2</xdr:col>
      <xdr:colOff>144780</xdr:colOff>
      <xdr:row>15</xdr:row>
      <xdr:rowOff>175260</xdr:rowOff>
    </xdr:from>
    <xdr:to>
      <xdr:col>5</xdr:col>
      <xdr:colOff>533400</xdr:colOff>
      <xdr:row>19</xdr:row>
      <xdr:rowOff>175260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90F6BC-4EE9-7C34-21FD-473CED437E24}"/>
            </a:ext>
          </a:extLst>
        </xdr:cNvPr>
        <xdr:cNvSpPr txBox="1"/>
      </xdr:nvSpPr>
      <xdr:spPr>
        <a:xfrm>
          <a:off x="1714500" y="2918460"/>
          <a:ext cx="2811780" cy="7315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to Calculate</a:t>
          </a:r>
          <a:r>
            <a:rPr lang="en-IN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error of the mean (SEM)</a:t>
          </a:r>
        </a:p>
        <a:p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</a:t>
          </a:r>
          <a:r>
            <a:rPr lang="en-IN" sz="1200"/>
            <a:t>SEM=​</a:t>
          </a:r>
          <a:r>
            <a:rPr lang="el-GR" sz="1200"/>
            <a:t>σ​</a:t>
          </a:r>
          <a:r>
            <a:rPr lang="en-IN" sz="1200"/>
            <a:t>/ SQRT(n)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6499-D21F-474D-A7ED-DA292628E16C}">
  <dimension ref="A6:M24"/>
  <sheetViews>
    <sheetView workbookViewId="0">
      <selection activeCell="F16" sqref="F16"/>
    </sheetView>
  </sheetViews>
  <sheetFormatPr defaultRowHeight="14.4" x14ac:dyDescent="0.3"/>
  <cols>
    <col min="1" max="1" width="31.5546875" bestFit="1" customWidth="1"/>
    <col min="2" max="3" width="21.33203125" bestFit="1" customWidth="1"/>
    <col min="4" max="4" width="12.21875" bestFit="1" customWidth="1"/>
    <col min="8" max="8" width="11.6640625" bestFit="1" customWidth="1"/>
    <col min="11" max="11" width="11.77734375" bestFit="1" customWidth="1"/>
    <col min="13" max="13" width="32.21875" bestFit="1" customWidth="1"/>
  </cols>
  <sheetData>
    <row r="6" spans="1:13" x14ac:dyDescent="0.3">
      <c r="A6" s="1" t="s">
        <v>3</v>
      </c>
      <c r="B6" s="1" t="s">
        <v>1</v>
      </c>
      <c r="D6" s="1" t="s">
        <v>4</v>
      </c>
      <c r="E6" s="1"/>
    </row>
    <row r="7" spans="1:13" x14ac:dyDescent="0.3">
      <c r="D7" s="1" t="s">
        <v>5</v>
      </c>
      <c r="E7" s="1" t="s">
        <v>1</v>
      </c>
      <c r="H7" s="1" t="s">
        <v>14</v>
      </c>
      <c r="I7" s="1">
        <v>20</v>
      </c>
      <c r="K7" s="16" t="s">
        <v>18</v>
      </c>
    </row>
    <row r="8" spans="1:13" x14ac:dyDescent="0.3">
      <c r="A8" s="1" t="s">
        <v>2</v>
      </c>
      <c r="B8" s="1">
        <v>3</v>
      </c>
      <c r="D8" s="1" t="s">
        <v>6</v>
      </c>
      <c r="E8" s="1" t="s">
        <v>7</v>
      </c>
      <c r="K8" s="16">
        <v>50</v>
      </c>
    </row>
    <row r="9" spans="1:13" x14ac:dyDescent="0.3">
      <c r="A9" s="1" t="s">
        <v>8</v>
      </c>
      <c r="B9" s="1">
        <v>6</v>
      </c>
      <c r="H9" s="1" t="s">
        <v>15</v>
      </c>
      <c r="I9" s="1">
        <v>15</v>
      </c>
      <c r="M9" s="15" t="s">
        <v>19</v>
      </c>
    </row>
    <row r="10" spans="1:13" x14ac:dyDescent="0.3">
      <c r="M10" s="15">
        <f>(I7+I9-I11)/50</f>
        <v>0.6</v>
      </c>
    </row>
    <row r="11" spans="1:13" x14ac:dyDescent="0.3">
      <c r="A11" s="2" t="s">
        <v>0</v>
      </c>
      <c r="B11" s="3">
        <f>B8/B9</f>
        <v>0.5</v>
      </c>
      <c r="H11" s="1" t="s">
        <v>16</v>
      </c>
      <c r="I11" s="1">
        <v>5</v>
      </c>
    </row>
    <row r="13" spans="1:13" x14ac:dyDescent="0.3">
      <c r="A13" s="1" t="s">
        <v>9</v>
      </c>
      <c r="B13" s="1" t="s">
        <v>10</v>
      </c>
    </row>
    <row r="14" spans="1:13" x14ac:dyDescent="0.3">
      <c r="A14" s="1" t="s">
        <v>11</v>
      </c>
      <c r="B14" s="1">
        <v>2</v>
      </c>
    </row>
    <row r="15" spans="1:13" x14ac:dyDescent="0.3">
      <c r="A15" s="1" t="s">
        <v>12</v>
      </c>
      <c r="B15" s="1">
        <v>6</v>
      </c>
    </row>
    <row r="17" spans="1:3" x14ac:dyDescent="0.3">
      <c r="A17" s="13" t="s">
        <v>13</v>
      </c>
      <c r="B17" s="14">
        <f>B14/B15</f>
        <v>0.33333333333333331</v>
      </c>
    </row>
    <row r="23" spans="1:3" x14ac:dyDescent="0.3">
      <c r="C23" s="3" t="s">
        <v>20</v>
      </c>
    </row>
    <row r="24" spans="1:3" x14ac:dyDescent="0.3">
      <c r="C24" s="3">
        <f>2/4</f>
        <v>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1ABE-B8E9-45E9-AE5F-6FD079E99963}">
  <dimension ref="A5:O27"/>
  <sheetViews>
    <sheetView tabSelected="1"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0.33203125" bestFit="1" customWidth="1"/>
    <col min="4" max="4" width="11.44140625" bestFit="1" customWidth="1"/>
    <col min="5" max="5" width="15" bestFit="1" customWidth="1"/>
    <col min="7" max="7" width="11.44140625" bestFit="1" customWidth="1"/>
    <col min="12" max="12" width="45" bestFit="1" customWidth="1"/>
    <col min="15" max="15" width="14.6640625" bestFit="1" customWidth="1"/>
  </cols>
  <sheetData>
    <row r="5" spans="4:15" x14ac:dyDescent="0.3">
      <c r="D5" s="8" t="s">
        <v>22</v>
      </c>
      <c r="E5" s="8" t="s">
        <v>23</v>
      </c>
      <c r="F5" t="s">
        <v>24</v>
      </c>
      <c r="G5" s="17" t="s">
        <v>21</v>
      </c>
    </row>
    <row r="6" spans="4:15" x14ac:dyDescent="0.3">
      <c r="D6" s="8">
        <v>158</v>
      </c>
      <c r="E6" s="8">
        <v>160</v>
      </c>
      <c r="G6" s="17">
        <f>D6-E6</f>
        <v>-2</v>
      </c>
    </row>
    <row r="7" spans="4:15" x14ac:dyDescent="0.3">
      <c r="L7" s="1" t="s">
        <v>17</v>
      </c>
      <c r="M7" s="1">
        <v>100</v>
      </c>
    </row>
    <row r="8" spans="4:15" x14ac:dyDescent="0.3">
      <c r="L8" s="1" t="s">
        <v>25</v>
      </c>
      <c r="M8" s="1">
        <v>40</v>
      </c>
      <c r="O8" s="1" t="s">
        <v>28</v>
      </c>
    </row>
    <row r="9" spans="4:15" x14ac:dyDescent="0.3">
      <c r="L9" s="1" t="s">
        <v>26</v>
      </c>
      <c r="M9" s="1">
        <v>30</v>
      </c>
      <c r="O9" s="1">
        <f>(M8+M9-M10)/M7</f>
        <v>0.6</v>
      </c>
    </row>
    <row r="10" spans="4:15" x14ac:dyDescent="0.3">
      <c r="L10" s="1" t="s">
        <v>27</v>
      </c>
      <c r="M10" s="1">
        <v>10</v>
      </c>
    </row>
    <row r="16" spans="4:15" x14ac:dyDescent="0.3">
      <c r="L16" s="4" t="s">
        <v>34</v>
      </c>
      <c r="M16" s="4" t="s">
        <v>37</v>
      </c>
      <c r="O16" s="2" t="s">
        <v>38</v>
      </c>
    </row>
    <row r="17" spans="1:15" x14ac:dyDescent="0.3">
      <c r="A17" s="20" t="s">
        <v>32</v>
      </c>
      <c r="B17" s="21">
        <v>5000</v>
      </c>
      <c r="N17" s="6" t="s">
        <v>40</v>
      </c>
      <c r="O17" s="2">
        <f>(4/52)*(3/51)</f>
        <v>4.5248868778280547E-3</v>
      </c>
    </row>
    <row r="18" spans="1:15" x14ac:dyDescent="0.3">
      <c r="A18" s="22" t="s">
        <v>33</v>
      </c>
      <c r="B18" s="22">
        <v>100</v>
      </c>
      <c r="L18" s="4" t="s">
        <v>35</v>
      </c>
      <c r="M18" s="5" t="s">
        <v>36</v>
      </c>
    </row>
    <row r="20" spans="1:15" x14ac:dyDescent="0.3">
      <c r="A20" s="18" t="s">
        <v>39</v>
      </c>
      <c r="B20" s="19">
        <f>B17/SQRT(B18)</f>
        <v>500</v>
      </c>
    </row>
    <row r="25" spans="1:15" x14ac:dyDescent="0.3">
      <c r="L25" s="8" t="s">
        <v>29</v>
      </c>
      <c r="M25" s="9">
        <v>0.02</v>
      </c>
      <c r="O25" s="7" t="s">
        <v>28</v>
      </c>
    </row>
    <row r="26" spans="1:15" x14ac:dyDescent="0.3">
      <c r="L26" s="8" t="s">
        <v>31</v>
      </c>
      <c r="M26" s="10">
        <v>0.98</v>
      </c>
      <c r="N26" s="12">
        <v>0.98</v>
      </c>
      <c r="O26" s="7">
        <f>(N26)^5</f>
        <v>0.90392079679999982</v>
      </c>
    </row>
    <row r="27" spans="1:15" x14ac:dyDescent="0.3">
      <c r="L27" s="8" t="s">
        <v>30</v>
      </c>
      <c r="M27" s="11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1,2,3,4</vt:lpstr>
      <vt:lpstr>Question 5,6,7,8,9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Sahu</dc:creator>
  <cp:lastModifiedBy>Priyanshu Sahu</cp:lastModifiedBy>
  <dcterms:created xsi:type="dcterms:W3CDTF">2025-12-23T14:34:59Z</dcterms:created>
  <dcterms:modified xsi:type="dcterms:W3CDTF">2025-12-23T17:21:20Z</dcterms:modified>
</cp:coreProperties>
</file>