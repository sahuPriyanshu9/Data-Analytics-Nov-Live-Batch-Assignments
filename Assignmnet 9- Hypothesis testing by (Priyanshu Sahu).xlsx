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h\OneDrive\Desktop\Data Analytics By Pw\Statistics Day 4\Assignment 9 - Hypothesis testing\"/>
    </mc:Choice>
  </mc:AlternateContent>
  <xr:revisionPtr revIDLastSave="0" documentId="8_{42CAF885-04CF-41D1-B96E-1AB9897F1C5D}" xr6:coauthVersionLast="47" xr6:coauthVersionMax="47" xr10:uidLastSave="{00000000-0000-0000-0000-000000000000}"/>
  <bookViews>
    <workbookView xWindow="-108" yWindow="-108" windowWidth="23256" windowHeight="12456" xr2:uid="{5BE07D37-A081-4438-83C5-CCC1E0759746}"/>
  </bookViews>
  <sheets>
    <sheet name="Ques1,2,3,4" sheetId="1" r:id="rId1"/>
    <sheet name="Ques 5,6" sheetId="2" r:id="rId2"/>
    <sheet name="Ques 7" sheetId="3" r:id="rId3"/>
    <sheet name="Ques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B18" i="3"/>
  <c r="D25" i="3"/>
  <c r="B22" i="3"/>
  <c r="D15" i="3"/>
  <c r="D13" i="3"/>
  <c r="D7" i="3"/>
  <c r="D8" i="3"/>
  <c r="D9" i="3"/>
  <c r="D10" i="3"/>
  <c r="D11" i="3"/>
  <c r="D6" i="3"/>
  <c r="O23" i="4" l="1"/>
  <c r="R17" i="4"/>
  <c r="M20" i="4"/>
  <c r="R14" i="4"/>
  <c r="R15" i="4"/>
  <c r="R16" i="4"/>
  <c r="R13" i="4"/>
  <c r="Q14" i="4"/>
  <c r="Q15" i="4"/>
  <c r="Q16" i="4"/>
  <c r="Q13" i="4"/>
  <c r="P14" i="4"/>
  <c r="P15" i="4"/>
  <c r="P16" i="4"/>
  <c r="P13" i="4"/>
  <c r="J23" i="4"/>
  <c r="J22" i="4"/>
  <c r="I23" i="4"/>
  <c r="I22" i="4"/>
  <c r="G20" i="2"/>
  <c r="D21" i="2"/>
</calcChain>
</file>

<file path=xl/sharedStrings.xml><?xml version="1.0" encoding="utf-8"?>
<sst xmlns="http://schemas.openxmlformats.org/spreadsheetml/2006/main" count="115" uniqueCount="92">
  <si>
    <t>step1</t>
  </si>
  <si>
    <t>frame hypothesis</t>
  </si>
  <si>
    <t>Null Hypothesis</t>
  </si>
  <si>
    <t>Alternate Hypothesis</t>
  </si>
  <si>
    <t>Average time to resolve a customer complaints is not equal to 10</t>
  </si>
  <si>
    <t>Average time to resolve a customer complaints is equal to 10</t>
  </si>
  <si>
    <t>Step2</t>
  </si>
  <si>
    <t>T - test formula</t>
  </si>
  <si>
    <t>Given:</t>
  </si>
  <si>
    <t>Sample Mean(Xbar)</t>
  </si>
  <si>
    <t>12 minutes</t>
  </si>
  <si>
    <t>population mean(Mew)</t>
  </si>
  <si>
    <t>10 miniutes</t>
  </si>
  <si>
    <t>sample size(n)</t>
  </si>
  <si>
    <t>Calculated T</t>
  </si>
  <si>
    <t>Critical T</t>
  </si>
  <si>
    <t>Alpha</t>
  </si>
  <si>
    <t>Degree of freedom(df)</t>
  </si>
  <si>
    <t>"=n-1"</t>
  </si>
  <si>
    <t>df</t>
  </si>
  <si>
    <t>cal t</t>
  </si>
  <si>
    <t>critical t</t>
  </si>
  <si>
    <t>&lt;</t>
  </si>
  <si>
    <t>since cal t &lt; critical t, accept null hypothesis</t>
  </si>
  <si>
    <t>reject alternate hypothesis.</t>
  </si>
  <si>
    <t>Gender</t>
  </si>
  <si>
    <t>Product A</t>
  </si>
  <si>
    <t>Product B</t>
  </si>
  <si>
    <t>Total</t>
  </si>
  <si>
    <t>Male</t>
  </si>
  <si>
    <t>Female</t>
  </si>
  <si>
    <t>total</t>
  </si>
  <si>
    <t>At α = 0.05, test independence</t>
  </si>
  <si>
    <t>step1:</t>
  </si>
  <si>
    <t>null</t>
  </si>
  <si>
    <t xml:space="preserve">no relation - both gender and product purchase are independent of each other. </t>
  </si>
  <si>
    <t>alternate</t>
  </si>
  <si>
    <t>relation exists</t>
  </si>
  <si>
    <t>step2:</t>
  </si>
  <si>
    <t>expected frequencies</t>
  </si>
  <si>
    <t>expected</t>
  </si>
  <si>
    <t>(row total * column total)/grand total</t>
  </si>
  <si>
    <t>Obesrved</t>
  </si>
  <si>
    <t>Expected</t>
  </si>
  <si>
    <t>step3</t>
  </si>
  <si>
    <t>chi square formula</t>
  </si>
  <si>
    <t>summation(o-e)^2/e</t>
  </si>
  <si>
    <t xml:space="preserve">where,  </t>
  </si>
  <si>
    <t>o</t>
  </si>
  <si>
    <t>e</t>
  </si>
  <si>
    <t>observed</t>
  </si>
  <si>
    <t>MaleProduct A</t>
  </si>
  <si>
    <t>Female Product A</t>
  </si>
  <si>
    <t>Male  Product B</t>
  </si>
  <si>
    <t>Female Product B</t>
  </si>
  <si>
    <t>o-e</t>
  </si>
  <si>
    <t>(o-e)^2</t>
  </si>
  <si>
    <t>(o-e)^2/e</t>
  </si>
  <si>
    <t>Degree of freedom</t>
  </si>
  <si>
    <t>df=(no.of row-1)*(no.of column-1)</t>
  </si>
  <si>
    <t>step4</t>
  </si>
  <si>
    <t>Df</t>
  </si>
  <si>
    <t>Critical value</t>
  </si>
  <si>
    <t>Calculated value</t>
  </si>
  <si>
    <t>&gt;</t>
  </si>
  <si>
    <t>accept alternate hypothesis</t>
  </si>
  <si>
    <t xml:space="preserve">since cal val &gt; crit val, reject null hypothesis. </t>
  </si>
  <si>
    <t>Employee</t>
  </si>
  <si>
    <t>Before</t>
  </si>
  <si>
    <t>After</t>
  </si>
  <si>
    <t>Difference</t>
  </si>
  <si>
    <t>Mean of Difference</t>
  </si>
  <si>
    <t>Standard Derivation</t>
  </si>
  <si>
    <t>t=Average improvement​/Standard error</t>
  </si>
  <si>
    <t>T-value</t>
  </si>
  <si>
    <t>Standard Error=standard Derivation/sqrt(n)</t>
  </si>
  <si>
    <t>ST err</t>
  </si>
  <si>
    <t xml:space="preserve">Alpha </t>
  </si>
  <si>
    <t>n</t>
  </si>
  <si>
    <t>Calculated t</t>
  </si>
  <si>
    <t>Critical Value t</t>
  </si>
  <si>
    <r>
      <t xml:space="preserve">So we </t>
    </r>
    <r>
      <rPr>
        <b/>
        <sz val="11"/>
        <color theme="1"/>
        <rFont val="Calibri"/>
        <family val="2"/>
        <scheme val="minor"/>
      </rPr>
      <t>reject H₀</t>
    </r>
  </si>
  <si>
    <t>t=(xbar - mew)/(S/sqrt(n))</t>
  </si>
  <si>
    <t>stanadrad Deviation(S)</t>
  </si>
  <si>
    <t>We accept Alternative Hypothesis:Training improved productivity</t>
  </si>
  <si>
    <t>Conclusion</t>
  </si>
  <si>
    <t>Step1</t>
  </si>
  <si>
    <t>H₀: Training has no effec</t>
  </si>
  <si>
    <r>
      <t>H₁:</t>
    </r>
    <r>
      <rPr>
        <sz val="11"/>
        <color theme="1"/>
        <rFont val="Calibri"/>
        <family val="2"/>
        <scheme val="minor"/>
      </rPr>
      <t xml:space="preserve"> Training improves productivity</t>
    </r>
  </si>
  <si>
    <t>Step4</t>
  </si>
  <si>
    <t>Step5</t>
  </si>
  <si>
    <t>Step6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</si>
</sst>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9" xfId="0" applyBorder="1"/>
    <xf numFmtId="0" fontId="4" fillId="0" borderId="2" xfId="0" applyFont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3" borderId="8" xfId="0" applyFill="1" applyBorder="1"/>
    <xf numFmtId="0" fontId="0" fillId="3" borderId="10" xfId="0" applyFill="1" applyBorder="1"/>
    <xf numFmtId="0" fontId="0" fillId="0" borderId="1" xfId="0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3" borderId="1" xfId="0" applyFill="1" applyBorder="1"/>
    <xf numFmtId="0" fontId="0" fillId="6" borderId="1" xfId="0" applyFill="1" applyBorder="1"/>
    <xf numFmtId="0" fontId="0" fillId="0" borderId="0" xfId="0" applyFill="1" applyBorder="1"/>
    <xf numFmtId="0" fontId="0" fillId="0" borderId="0" xfId="0" applyFill="1"/>
    <xf numFmtId="0" fontId="0" fillId="5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8" xfId="0" applyFont="1" applyBorder="1"/>
    <xf numFmtId="0" fontId="0" fillId="10" borderId="0" xfId="0" applyFill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11" borderId="1" xfId="0" applyFill="1" applyBorder="1"/>
    <xf numFmtId="0" fontId="0" fillId="11" borderId="13" xfId="0" applyFill="1" applyBorder="1"/>
    <xf numFmtId="0" fontId="0" fillId="12" borderId="2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7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7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4" borderId="8" xfId="0" applyFill="1" applyBorder="1"/>
    <xf numFmtId="0" fontId="0" fillId="4" borderId="10" xfId="0" applyFill="1" applyBorder="1"/>
    <xf numFmtId="0" fontId="0" fillId="2" borderId="8" xfId="0" applyFill="1" applyBorder="1"/>
    <xf numFmtId="0" fontId="0" fillId="2" borderId="10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6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1" xfId="0" applyFill="1" applyBorder="1"/>
    <xf numFmtId="0" fontId="0" fillId="11" borderId="0" xfId="0" applyFill="1"/>
    <xf numFmtId="0" fontId="0" fillId="17" borderId="0" xfId="0" applyFill="1"/>
    <xf numFmtId="0" fontId="5" fillId="1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9</xdr:col>
      <xdr:colOff>22860</xdr:colOff>
      <xdr:row>4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8DBE09-C820-2795-4933-E7A7F7AB9C93}"/>
            </a:ext>
          </a:extLst>
        </xdr:cNvPr>
        <xdr:cNvSpPr txBox="1"/>
      </xdr:nvSpPr>
      <xdr:spPr>
        <a:xfrm>
          <a:off x="30480" y="7620"/>
          <a:ext cx="5478780" cy="7315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Question 1: What is a null hypothesis (H₀) and why is it important in hypothesis testing?</a:t>
          </a:r>
        </a:p>
      </xdr:txBody>
    </xdr:sp>
    <xdr:clientData/>
  </xdr:twoCellAnchor>
  <xdr:twoCellAnchor>
    <xdr:from>
      <xdr:col>0</xdr:col>
      <xdr:colOff>15240</xdr:colOff>
      <xdr:row>4</xdr:row>
      <xdr:rowOff>38100</xdr:rowOff>
    </xdr:from>
    <xdr:to>
      <xdr:col>9</xdr:col>
      <xdr:colOff>0</xdr:colOff>
      <xdr:row>14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36E53C-4916-62E7-DFC5-4E49091DA7F1}"/>
            </a:ext>
          </a:extLst>
        </xdr:cNvPr>
        <xdr:cNvSpPr txBox="1"/>
      </xdr:nvSpPr>
      <xdr:spPr>
        <a:xfrm>
          <a:off x="15240" y="769620"/>
          <a:ext cx="5471160" cy="17907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Answer:</a:t>
          </a:r>
        </a:p>
        <a:p>
          <a:r>
            <a:rPr lang="en-IN" sz="1600" b="0" u="sng"/>
            <a:t>Null</a:t>
          </a:r>
          <a:r>
            <a:rPr lang="en-IN" sz="1600" b="0" u="sng" baseline="0"/>
            <a:t> Hypothesis(H0): </a:t>
          </a:r>
          <a:r>
            <a:rPr lang="en-IN" sz="1600">
              <a:solidFill>
                <a:schemeClr val="accent1"/>
              </a:solidFill>
            </a:rPr>
            <a:t>The </a:t>
          </a:r>
          <a:r>
            <a:rPr lang="en-IN" sz="1600" b="1">
              <a:solidFill>
                <a:schemeClr val="accent1"/>
              </a:solidFill>
            </a:rPr>
            <a:t>null hypothesis (H₀)</a:t>
          </a:r>
          <a:r>
            <a:rPr lang="en-IN" sz="1600">
              <a:solidFill>
                <a:schemeClr val="accent1"/>
              </a:solidFill>
            </a:rPr>
            <a:t> is a statement that there is </a:t>
          </a:r>
          <a:r>
            <a:rPr lang="en-IN" sz="1600" b="1">
              <a:solidFill>
                <a:schemeClr val="accent1"/>
              </a:solidFill>
            </a:rPr>
            <a:t>no effect, no difference, or no change</a:t>
          </a:r>
          <a:r>
            <a:rPr lang="en-IN" sz="1600"/>
            <a:t>.</a:t>
          </a:r>
        </a:p>
        <a:p>
          <a:r>
            <a:rPr lang="en-IN" sz="1600" u="sng"/>
            <a:t>It is important because:</a:t>
          </a:r>
        </a:p>
        <a:p>
          <a:r>
            <a:rPr lang="en-IN" sz="1600">
              <a:solidFill>
                <a:schemeClr val="accent1"/>
              </a:solidFill>
            </a:rPr>
            <a:t>It gives a </a:t>
          </a:r>
          <a:r>
            <a:rPr lang="en-IN" sz="1600" b="1">
              <a:solidFill>
                <a:schemeClr val="accent1"/>
              </a:solidFill>
            </a:rPr>
            <a:t>baseline</a:t>
          </a:r>
          <a:r>
            <a:rPr lang="en-IN" sz="1600">
              <a:solidFill>
                <a:schemeClr val="accent1"/>
              </a:solidFill>
            </a:rPr>
            <a:t> to test against</a:t>
          </a:r>
          <a:r>
            <a:rPr lang="en-IN" sz="1600"/>
            <a:t>.</a:t>
          </a:r>
        </a:p>
        <a:p>
          <a:r>
            <a:rPr lang="en-IN" sz="1600" b="0" u="sng"/>
            <a:t>Example:</a:t>
          </a:r>
          <a:r>
            <a:rPr lang="en-IN" sz="1600" b="0" u="sng" baseline="0"/>
            <a:t> </a:t>
          </a:r>
          <a:r>
            <a:rPr lang="en-IN" sz="1600" b="0" u="none" baseline="0">
              <a:solidFill>
                <a:schemeClr val="accent1"/>
              </a:solidFill>
            </a:rPr>
            <a:t>The teaching method has no impact on test scores</a:t>
          </a:r>
          <a:endParaRPr lang="en-IN" sz="1600" b="0" u="sng"/>
        </a:p>
      </xdr:txBody>
    </xdr:sp>
    <xdr:clientData/>
  </xdr:twoCellAnchor>
  <xdr:twoCellAnchor>
    <xdr:from>
      <xdr:col>0</xdr:col>
      <xdr:colOff>0</xdr:colOff>
      <xdr:row>14</xdr:row>
      <xdr:rowOff>22860</xdr:rowOff>
    </xdr:from>
    <xdr:to>
      <xdr:col>8</xdr:col>
      <xdr:colOff>594360</xdr:colOff>
      <xdr:row>18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3591B0-5EDE-80D3-7287-01581B0F79C1}"/>
            </a:ext>
          </a:extLst>
        </xdr:cNvPr>
        <xdr:cNvSpPr txBox="1"/>
      </xdr:nvSpPr>
      <xdr:spPr>
        <a:xfrm>
          <a:off x="0" y="2583180"/>
          <a:ext cx="5471160" cy="75438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Question 2: What does the significance level (</a:t>
          </a:r>
          <a:r>
            <a:rPr lang="el-GR" sz="2000"/>
            <a:t>α) </a:t>
          </a:r>
          <a:r>
            <a:rPr lang="en-IN" sz="2000"/>
            <a:t>represent in hypothesis testing?</a:t>
          </a:r>
        </a:p>
      </xdr:txBody>
    </xdr:sp>
    <xdr:clientData/>
  </xdr:twoCellAnchor>
  <xdr:twoCellAnchor>
    <xdr:from>
      <xdr:col>0</xdr:col>
      <xdr:colOff>0</xdr:colOff>
      <xdr:row>18</xdr:row>
      <xdr:rowOff>38100</xdr:rowOff>
    </xdr:from>
    <xdr:to>
      <xdr:col>8</xdr:col>
      <xdr:colOff>601980</xdr:colOff>
      <xdr:row>24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E5C833-6759-371A-B602-37862FF85E73}"/>
            </a:ext>
          </a:extLst>
        </xdr:cNvPr>
        <xdr:cNvSpPr txBox="1"/>
      </xdr:nvSpPr>
      <xdr:spPr>
        <a:xfrm>
          <a:off x="0" y="3329940"/>
          <a:ext cx="5478780" cy="11582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u="sng"/>
            <a:t>Answer:</a:t>
          </a:r>
          <a:r>
            <a:rPr lang="en-IN" sz="1600">
              <a:solidFill>
                <a:schemeClr val="accent1"/>
              </a:solidFill>
            </a:rPr>
            <a:t>The </a:t>
          </a:r>
          <a:r>
            <a:rPr lang="en-IN" sz="1600" b="1">
              <a:solidFill>
                <a:schemeClr val="accent1"/>
              </a:solidFill>
            </a:rPr>
            <a:t>significance level </a:t>
          </a:r>
          <a:r>
            <a:rPr lang="el-GR" sz="1600" b="1">
              <a:solidFill>
                <a:schemeClr val="accent1"/>
              </a:solidFill>
            </a:rPr>
            <a:t>α</a:t>
          </a:r>
          <a:r>
            <a:rPr lang="el-GR" sz="1600">
              <a:solidFill>
                <a:schemeClr val="accent1"/>
              </a:solidFill>
            </a:rPr>
            <a:t> </a:t>
          </a:r>
          <a:r>
            <a:rPr lang="en-IN" sz="1600">
              <a:solidFill>
                <a:schemeClr val="accent1"/>
              </a:solidFill>
            </a:rPr>
            <a:t>is the </a:t>
          </a:r>
          <a:r>
            <a:rPr lang="en-IN" sz="1600" b="1">
              <a:solidFill>
                <a:schemeClr val="accent1"/>
              </a:solidFill>
            </a:rPr>
            <a:t>maximum risk</a:t>
          </a:r>
          <a:r>
            <a:rPr lang="en-IN" sz="1600">
              <a:solidFill>
                <a:schemeClr val="accent1"/>
              </a:solidFill>
            </a:rPr>
            <a:t> of rejecting a true null hypothesis</a:t>
          </a:r>
          <a:endParaRPr lang="en-IN" sz="1600" b="1" u="sng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0</xdr:colOff>
      <xdr:row>0</xdr:row>
      <xdr:rowOff>22860</xdr:rowOff>
    </xdr:from>
    <xdr:to>
      <xdr:col>19</xdr:col>
      <xdr:colOff>556260</xdr:colOff>
      <xdr:row>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184A0A-43DB-4F26-8107-47C3EA60870A}"/>
            </a:ext>
          </a:extLst>
        </xdr:cNvPr>
        <xdr:cNvSpPr txBox="1"/>
      </xdr:nvSpPr>
      <xdr:spPr>
        <a:xfrm>
          <a:off x="6705600" y="22860"/>
          <a:ext cx="5433060" cy="7239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Question 3: Differentiate between Type I and Type II errors</a:t>
          </a:r>
        </a:p>
      </xdr:txBody>
    </xdr:sp>
    <xdr:clientData/>
  </xdr:twoCellAnchor>
  <xdr:twoCellAnchor>
    <xdr:from>
      <xdr:col>11</xdr:col>
      <xdr:colOff>0</xdr:colOff>
      <xdr:row>4</xdr:row>
      <xdr:rowOff>38100</xdr:rowOff>
    </xdr:from>
    <xdr:to>
      <xdr:col>19</xdr:col>
      <xdr:colOff>556260</xdr:colOff>
      <xdr:row>13</xdr:row>
      <xdr:rowOff>121920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8B650F-CA98-7D82-76B6-7FF16AE843C7}"/>
            </a:ext>
          </a:extLst>
        </xdr:cNvPr>
        <xdr:cNvSpPr txBox="1"/>
      </xdr:nvSpPr>
      <xdr:spPr>
        <a:xfrm>
          <a:off x="6705600" y="769620"/>
          <a:ext cx="5433060" cy="17297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400" b="1" u="sng"/>
            <a:t>Type I</a:t>
          </a:r>
          <a:r>
            <a:rPr lang="en-IN" sz="1400" b="1" u="none"/>
            <a:t> :</a:t>
          </a:r>
          <a:r>
            <a:rPr lang="en-IN" sz="1400" b="1" u="none" baseline="0"/>
            <a:t> </a:t>
          </a:r>
          <a:r>
            <a:rPr lang="en-IN" sz="1400" b="1" u="none"/>
            <a:t>                                                      </a:t>
          </a:r>
          <a:r>
            <a:rPr lang="en-IN" sz="1400" b="1" u="sng"/>
            <a:t>Type</a:t>
          </a:r>
          <a:r>
            <a:rPr lang="en-IN" sz="1400" b="1" u="sng" baseline="0"/>
            <a:t> II:</a:t>
          </a:r>
        </a:p>
        <a:p>
          <a:pPr algn="l"/>
          <a:r>
            <a:rPr lang="en-IN" sz="1400" b="1" u="none" baseline="0">
              <a:solidFill>
                <a:schemeClr val="accent1"/>
              </a:solidFill>
            </a:rPr>
            <a:t>Rejecting </a:t>
          </a:r>
          <a:r>
            <a:rPr lang="en-IN" sz="1400" b="1" u="sng" baseline="0">
              <a:solidFill>
                <a:schemeClr val="accent1"/>
              </a:solidFill>
            </a:rPr>
            <a:t>Ho</a:t>
          </a:r>
          <a:r>
            <a:rPr lang="en-IN" sz="1400" b="1" u="none" baseline="0">
              <a:solidFill>
                <a:schemeClr val="accent1"/>
              </a:solidFill>
            </a:rPr>
            <a:t> when it is actually          Failing To reject Ho when itis false</a:t>
          </a:r>
        </a:p>
        <a:p>
          <a:pPr algn="l"/>
          <a:r>
            <a:rPr lang="en-IN" sz="1400" b="1" u="none" baseline="0">
              <a:solidFill>
                <a:schemeClr val="accent1"/>
              </a:solidFill>
            </a:rPr>
            <a:t>true.                                                          </a:t>
          </a:r>
          <a:r>
            <a:rPr lang="en-IN" sz="1400" b="1" u="sng" baseline="0">
              <a:solidFill>
                <a:schemeClr val="tx1"/>
              </a:solidFill>
            </a:rPr>
            <a:t>example:</a:t>
          </a:r>
        </a:p>
        <a:p>
          <a:pPr algn="l"/>
          <a:r>
            <a:rPr lang="en-IN" sz="1400" b="1" u="sng" baseline="0">
              <a:solidFill>
                <a:schemeClr val="tx1"/>
              </a:solidFill>
            </a:rPr>
            <a:t>Example</a:t>
          </a:r>
          <a:r>
            <a:rPr lang="en-IN" sz="1400" b="1" u="sng" baseline="0">
              <a:solidFill>
                <a:schemeClr val="accent1"/>
              </a:solidFill>
            </a:rPr>
            <a:t> </a:t>
          </a:r>
          <a:r>
            <a:rPr lang="en-IN" sz="1400" b="1" u="none" baseline="0">
              <a:solidFill>
                <a:schemeClr val="accent1"/>
              </a:solidFill>
            </a:rPr>
            <a:t>:                                                 </a:t>
          </a:r>
          <a:r>
            <a:rPr lang="en-IN" sz="1400"/>
            <a:t>Saying something is correct when     </a:t>
          </a:r>
          <a:r>
            <a:rPr lang="en-IN" sz="1400" b="1" u="none" baseline="0">
              <a:solidFill>
                <a:schemeClr val="accent1"/>
              </a:solidFill>
            </a:rPr>
            <a:t>    </a:t>
          </a:r>
        </a:p>
        <a:p>
          <a:r>
            <a:rPr lang="en-IN" sz="1400"/>
            <a:t>Saying something is wrong when it     it is wrong </a:t>
          </a:r>
        </a:p>
        <a:p>
          <a:r>
            <a:rPr lang="en-IN" sz="1400"/>
            <a:t>is correct</a:t>
          </a:r>
        </a:p>
      </xdr:txBody>
    </xdr:sp>
    <xdr:clientData/>
  </xdr:twoCellAnchor>
  <xdr:twoCellAnchor>
    <xdr:from>
      <xdr:col>15</xdr:col>
      <xdr:colOff>270510</xdr:colOff>
      <xdr:row>3</xdr:row>
      <xdr:rowOff>167640</xdr:rowOff>
    </xdr:from>
    <xdr:to>
      <xdr:col>15</xdr:col>
      <xdr:colOff>278130</xdr:colOff>
      <xdr:row>13</xdr:row>
      <xdr:rowOff>121920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101E45B-1E08-6184-9560-7EBB4346175E}"/>
            </a:ext>
          </a:extLst>
        </xdr:cNvPr>
        <xdr:cNvCxnSpPr>
          <a:endCxn id="7" idx="2"/>
        </xdr:cNvCxnSpPr>
      </xdr:nvCxnSpPr>
      <xdr:spPr>
        <a:xfrm>
          <a:off x="9414510" y="716280"/>
          <a:ext cx="7620" cy="1783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14</xdr:row>
      <xdr:rowOff>38100</xdr:rowOff>
    </xdr:from>
    <xdr:to>
      <xdr:col>19</xdr:col>
      <xdr:colOff>541020</xdr:colOff>
      <xdr:row>18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689F3DF-2954-3CA5-A012-E04BA67DE7E0}"/>
            </a:ext>
          </a:extLst>
        </xdr:cNvPr>
        <xdr:cNvSpPr txBox="1"/>
      </xdr:nvSpPr>
      <xdr:spPr>
        <a:xfrm>
          <a:off x="6720840" y="2598420"/>
          <a:ext cx="5402580" cy="6934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Question 4: Explain the difference between a one-tailed and two-tailed test. Give an example of each</a:t>
          </a:r>
        </a:p>
      </xdr:txBody>
    </xdr:sp>
    <xdr:clientData/>
  </xdr:twoCellAnchor>
  <xdr:twoCellAnchor>
    <xdr:from>
      <xdr:col>11</xdr:col>
      <xdr:colOff>22860</xdr:colOff>
      <xdr:row>18</xdr:row>
      <xdr:rowOff>22860</xdr:rowOff>
    </xdr:from>
    <xdr:to>
      <xdr:col>19</xdr:col>
      <xdr:colOff>525780</xdr:colOff>
      <xdr:row>24</xdr:row>
      <xdr:rowOff>129540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67DFF2-1931-8F10-032E-11D4B83EBF56}"/>
            </a:ext>
          </a:extLst>
        </xdr:cNvPr>
        <xdr:cNvSpPr txBox="1"/>
      </xdr:nvSpPr>
      <xdr:spPr>
        <a:xfrm>
          <a:off x="6728460" y="3314700"/>
          <a:ext cx="5379720" cy="12039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u="sng"/>
            <a:t>One-Tailed</a:t>
          </a:r>
          <a:r>
            <a:rPr lang="en-IN" sz="1100" b="1" u="none"/>
            <a:t>:                                                                 </a:t>
          </a:r>
          <a:r>
            <a:rPr lang="en-IN" sz="1100" b="1" u="sng"/>
            <a:t>Two-Tailed:</a:t>
          </a:r>
        </a:p>
        <a:p>
          <a:r>
            <a:rPr lang="en-IN">
              <a:solidFill>
                <a:srgbClr val="0070C0"/>
              </a:solidFill>
            </a:rPr>
            <a:t>Tests in </a:t>
          </a:r>
          <a:r>
            <a:rPr lang="en-IN" b="1">
              <a:solidFill>
                <a:srgbClr val="0070C0"/>
              </a:solidFill>
            </a:rPr>
            <a:t>one direction</a:t>
          </a:r>
          <a:r>
            <a:rPr lang="en-IN">
              <a:solidFill>
                <a:srgbClr val="0070C0"/>
              </a:solidFill>
            </a:rPr>
            <a:t> only                                     Tests in </a:t>
          </a:r>
          <a:r>
            <a:rPr lang="en-IN" b="1">
              <a:solidFill>
                <a:srgbClr val="0070C0"/>
              </a:solidFill>
            </a:rPr>
            <a:t>both directions</a:t>
          </a:r>
        </a:p>
        <a:p>
          <a:r>
            <a:rPr lang="en-IN">
              <a:solidFill>
                <a:srgbClr val="0070C0"/>
              </a:solidFill>
            </a:rPr>
            <a:t>Only increase or only decrease                               Both increase and decrease</a:t>
          </a:r>
        </a:p>
        <a:p>
          <a:r>
            <a:rPr lang="en-IN" sz="1100" b="1" u="sng">
              <a:solidFill>
                <a:schemeClr val="tx1"/>
              </a:solidFill>
            </a:rPr>
            <a:t>Example</a:t>
          </a:r>
          <a:r>
            <a:rPr lang="en-IN" sz="1100" b="1" u="none">
              <a:solidFill>
                <a:schemeClr val="tx1"/>
              </a:solidFill>
            </a:rPr>
            <a:t>:                                                                    Example:</a:t>
          </a:r>
        </a:p>
        <a:p>
          <a:r>
            <a:rPr lang="en-IN">
              <a:solidFill>
                <a:srgbClr val="0070C0"/>
              </a:solidFill>
            </a:rPr>
            <a:t>H₁: </a:t>
          </a:r>
          <a:r>
            <a:rPr lang="el-GR">
              <a:solidFill>
                <a:srgbClr val="0070C0"/>
              </a:solidFill>
            </a:rPr>
            <a:t>μ &gt; 100</a:t>
          </a:r>
          <a:r>
            <a:rPr lang="en-IN">
              <a:solidFill>
                <a:srgbClr val="0070C0"/>
              </a:solidFill>
            </a:rPr>
            <a:t>                                                                  H₁: </a:t>
          </a:r>
          <a:r>
            <a:rPr lang="el-GR">
              <a:solidFill>
                <a:srgbClr val="0070C0"/>
              </a:solidFill>
            </a:rPr>
            <a:t>μ ≠ 100</a:t>
          </a:r>
          <a:endParaRPr lang="en-IN" sz="1100" b="1" u="none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274320</xdr:colOff>
      <xdr:row>18</xdr:row>
      <xdr:rowOff>0</xdr:rowOff>
    </xdr:from>
    <xdr:to>
      <xdr:col>15</xdr:col>
      <xdr:colOff>278130</xdr:colOff>
      <xdr:row>24</xdr:row>
      <xdr:rowOff>129540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4DBCAF-AB8B-646F-8CA3-39E8875C1DB0}"/>
            </a:ext>
          </a:extLst>
        </xdr:cNvPr>
        <xdr:cNvCxnSpPr>
          <a:stCxn id="12" idx="2"/>
          <a:endCxn id="13" idx="2"/>
        </xdr:cNvCxnSpPr>
      </xdr:nvCxnSpPr>
      <xdr:spPr>
        <a:xfrm flipH="1">
          <a:off x="9418320" y="3291840"/>
          <a:ext cx="3810" cy="12268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</xdr:rowOff>
    </xdr:from>
    <xdr:to>
      <xdr:col>9</xdr:col>
      <xdr:colOff>53340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496740-4E38-8640-DF79-D5E52CAC1B77}"/>
            </a:ext>
          </a:extLst>
        </xdr:cNvPr>
        <xdr:cNvSpPr txBox="1"/>
      </xdr:nvSpPr>
      <xdr:spPr>
        <a:xfrm>
          <a:off x="38100" y="7620"/>
          <a:ext cx="5501640" cy="93726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Question 5: A company claims that the average time to resolve a customer complaint is 10 minutes. A random sample of 9 complaints gives an average time of 12 minutes and a standard deviation of 3 minutes. At </a:t>
          </a:r>
          <a:r>
            <a:rPr lang="el-GR" sz="1400"/>
            <a:t>α = 0.05, </a:t>
          </a:r>
          <a:r>
            <a:rPr lang="en-IN" sz="1400"/>
            <a:t>test the claim.</a:t>
          </a:r>
        </a:p>
      </xdr:txBody>
    </xdr:sp>
    <xdr:clientData/>
  </xdr:twoCellAnchor>
  <xdr:twoCellAnchor>
    <xdr:from>
      <xdr:col>11</xdr:col>
      <xdr:colOff>0</xdr:colOff>
      <xdr:row>0</xdr:row>
      <xdr:rowOff>7620</xdr:rowOff>
    </xdr:from>
    <xdr:to>
      <xdr:col>19</xdr:col>
      <xdr:colOff>533400</xdr:colOff>
      <xdr:row>4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5DBEAD-C48C-2D5A-30F3-4F4990626E0A}"/>
            </a:ext>
          </a:extLst>
        </xdr:cNvPr>
        <xdr:cNvSpPr txBox="1"/>
      </xdr:nvSpPr>
      <xdr:spPr>
        <a:xfrm>
          <a:off x="7764780" y="7620"/>
          <a:ext cx="5410200" cy="8839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Question 6: When should you use a Z-test instead of a t-test?</a:t>
          </a: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19</xdr:col>
      <xdr:colOff>556260</xdr:colOff>
      <xdr:row>13</xdr:row>
      <xdr:rowOff>182880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B9D947-4DF7-882F-EC0A-1E857105FD50}"/>
            </a:ext>
          </a:extLst>
        </xdr:cNvPr>
        <xdr:cNvSpPr txBox="1"/>
      </xdr:nvSpPr>
      <xdr:spPr>
        <a:xfrm>
          <a:off x="7856220" y="914400"/>
          <a:ext cx="5433060" cy="17678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Answer:</a:t>
          </a:r>
        </a:p>
        <a:p>
          <a:r>
            <a:rPr lang="en-IN" sz="1400" u="sng"/>
            <a:t>Use </a:t>
          </a:r>
          <a:r>
            <a:rPr lang="en-IN" sz="1400" b="1" u="sng"/>
            <a:t>Z-test when:</a:t>
          </a:r>
          <a:endParaRPr lang="en-IN" sz="1400" u="sng"/>
        </a:p>
        <a:p>
          <a:r>
            <a:rPr lang="en-IN" sz="1400">
              <a:solidFill>
                <a:schemeClr val="accent1"/>
              </a:solidFill>
            </a:rPr>
            <a:t>Population standard deviation is known</a:t>
          </a:r>
        </a:p>
        <a:p>
          <a:r>
            <a:rPr lang="en-IN" sz="1400">
              <a:solidFill>
                <a:schemeClr val="accent1"/>
              </a:solidFill>
            </a:rPr>
            <a:t>Sample size n ≥ 30</a:t>
          </a:r>
        </a:p>
        <a:p>
          <a:r>
            <a:rPr lang="en-IN" sz="1400" u="sng"/>
            <a:t>Use </a:t>
          </a:r>
          <a:r>
            <a:rPr lang="en-IN" sz="1400" b="1" u="sng"/>
            <a:t>t-test when:</a:t>
          </a:r>
          <a:endParaRPr lang="en-IN" sz="1400" u="sng"/>
        </a:p>
        <a:p>
          <a:r>
            <a:rPr lang="el-GR" sz="1400">
              <a:solidFill>
                <a:schemeClr val="accent1"/>
              </a:solidFill>
            </a:rPr>
            <a:t>σ </a:t>
          </a:r>
          <a:r>
            <a:rPr lang="en-IN" sz="1400">
              <a:solidFill>
                <a:schemeClr val="accent1"/>
              </a:solidFill>
            </a:rPr>
            <a:t>is unknown</a:t>
          </a:r>
        </a:p>
        <a:p>
          <a:r>
            <a:rPr lang="en-IN" sz="1400">
              <a:solidFill>
                <a:schemeClr val="accent1"/>
              </a:solidFill>
            </a:rPr>
            <a:t>Small sample (n &lt; 30)</a:t>
          </a:r>
        </a:p>
        <a:p>
          <a:endParaRPr lang="en-IN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</xdr:rowOff>
    </xdr:from>
    <xdr:to>
      <xdr:col>8</xdr:col>
      <xdr:colOff>579120</xdr:colOff>
      <xdr:row>3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E57EBA-66CC-CB2D-63E3-7F5877B80141}"/>
            </a:ext>
          </a:extLst>
        </xdr:cNvPr>
        <xdr:cNvSpPr txBox="1"/>
      </xdr:nvSpPr>
      <xdr:spPr>
        <a:xfrm>
          <a:off x="38100" y="7620"/>
          <a:ext cx="5417820" cy="7010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Question 7: The productivity of 6 employees was measured before and after a training program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579120</xdr:colOff>
      <xdr:row>4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BB2DE2-C27C-4D24-98B6-DFAC567B90C0}"/>
            </a:ext>
          </a:extLst>
        </xdr:cNvPr>
        <xdr:cNvSpPr txBox="1"/>
      </xdr:nvSpPr>
      <xdr:spPr>
        <a:xfrm>
          <a:off x="0" y="0"/>
          <a:ext cx="5455920" cy="8001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Question 8: A company wants to test if product preference is independent of gender.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989F-095D-4884-BB2C-42B36CEFAD58}">
  <dimension ref="A1"/>
  <sheetViews>
    <sheetView tabSelected="1" workbookViewId="0">
      <selection activeCell="J8" sqref="J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2FE8-5C5F-47DE-967F-AAC1479F8B1F}">
  <dimension ref="A7:G26"/>
  <sheetViews>
    <sheetView workbookViewId="0">
      <selection activeCell="F25" sqref="F25"/>
    </sheetView>
  </sheetViews>
  <sheetFormatPr defaultRowHeight="14.4" x14ac:dyDescent="0.3"/>
  <cols>
    <col min="4" max="4" width="24.33203125" customWidth="1"/>
    <col min="6" max="6" width="10.21875" customWidth="1"/>
  </cols>
  <sheetData>
    <row r="7" spans="1:5" ht="15.6" x14ac:dyDescent="0.3">
      <c r="A7" s="18" t="s">
        <v>0</v>
      </c>
      <c r="B7" s="19" t="s">
        <v>1</v>
      </c>
      <c r="C7" s="20"/>
    </row>
    <row r="9" spans="1:5" ht="18" x14ac:dyDescent="0.35">
      <c r="A9" s="3" t="s">
        <v>2</v>
      </c>
      <c r="D9" s="2" t="s">
        <v>5</v>
      </c>
    </row>
    <row r="10" spans="1:5" ht="18" x14ac:dyDescent="0.35">
      <c r="A10" s="1" t="s">
        <v>3</v>
      </c>
      <c r="D10" s="2" t="s">
        <v>4</v>
      </c>
    </row>
    <row r="12" spans="1:5" ht="15.6" x14ac:dyDescent="0.3">
      <c r="A12" s="18" t="s">
        <v>6</v>
      </c>
      <c r="B12" s="21"/>
      <c r="C12" s="19" t="s">
        <v>7</v>
      </c>
      <c r="D12" s="20"/>
    </row>
    <row r="14" spans="1:5" ht="18" x14ac:dyDescent="0.35">
      <c r="C14" s="22" t="s">
        <v>82</v>
      </c>
      <c r="D14" s="8"/>
    </row>
    <row r="15" spans="1:5" x14ac:dyDescent="0.3">
      <c r="A15" s="6" t="s">
        <v>8</v>
      </c>
      <c r="B15" s="7"/>
      <c r="C15" s="7"/>
      <c r="D15" s="8"/>
    </row>
    <row r="16" spans="1:5" x14ac:dyDescent="0.3">
      <c r="A16" s="23" t="s">
        <v>9</v>
      </c>
      <c r="B16" s="24"/>
      <c r="C16" s="24"/>
      <c r="D16" s="25" t="s">
        <v>10</v>
      </c>
      <c r="E16">
        <v>12</v>
      </c>
    </row>
    <row r="17" spans="1:7" x14ac:dyDescent="0.3">
      <c r="A17" s="23" t="s">
        <v>11</v>
      </c>
      <c r="B17" s="24"/>
      <c r="C17" s="24"/>
      <c r="D17" s="25" t="s">
        <v>12</v>
      </c>
      <c r="E17">
        <v>10</v>
      </c>
    </row>
    <row r="18" spans="1:7" x14ac:dyDescent="0.3">
      <c r="A18" s="23" t="s">
        <v>13</v>
      </c>
      <c r="B18" s="24"/>
      <c r="C18" s="24"/>
      <c r="D18" s="25">
        <v>9</v>
      </c>
    </row>
    <row r="19" spans="1:7" x14ac:dyDescent="0.3">
      <c r="A19" s="9" t="s">
        <v>83</v>
      </c>
      <c r="B19" s="10"/>
      <c r="C19" s="10"/>
      <c r="D19" s="11">
        <v>3</v>
      </c>
      <c r="E19" s="27" t="s">
        <v>17</v>
      </c>
      <c r="F19" s="28"/>
      <c r="G19" s="29" t="s">
        <v>18</v>
      </c>
    </row>
    <row r="20" spans="1:7" x14ac:dyDescent="0.3">
      <c r="A20" t="s">
        <v>16</v>
      </c>
      <c r="D20">
        <v>0.05</v>
      </c>
      <c r="F20" s="30" t="s">
        <v>19</v>
      </c>
      <c r="G20" s="31">
        <f>D18-1</f>
        <v>8</v>
      </c>
    </row>
    <row r="21" spans="1:7" x14ac:dyDescent="0.3">
      <c r="A21" s="4" t="s">
        <v>14</v>
      </c>
      <c r="B21" s="4"/>
      <c r="C21" s="4"/>
      <c r="D21" s="4">
        <f>(E16-E17)/(D19/(SQRT(D18)))</f>
        <v>2</v>
      </c>
    </row>
    <row r="22" spans="1:7" x14ac:dyDescent="0.3">
      <c r="A22" t="s">
        <v>15</v>
      </c>
      <c r="D22">
        <v>2.306</v>
      </c>
    </row>
    <row r="23" spans="1:7" x14ac:dyDescent="0.3">
      <c r="B23" s="5" t="s">
        <v>20</v>
      </c>
      <c r="C23" s="5" t="s">
        <v>22</v>
      </c>
      <c r="D23" s="5" t="s">
        <v>21</v>
      </c>
    </row>
    <row r="25" spans="1:7" x14ac:dyDescent="0.3">
      <c r="B25" s="12" t="s">
        <v>23</v>
      </c>
      <c r="C25" s="13"/>
      <c r="D25" s="14"/>
    </row>
    <row r="26" spans="1:7" x14ac:dyDescent="0.3">
      <c r="B26" s="15" t="s">
        <v>24</v>
      </c>
      <c r="C26" s="16"/>
      <c r="D26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2BE3-D3B1-4BDB-B247-0FBB5C2A8C67}">
  <dimension ref="A5:P25"/>
  <sheetViews>
    <sheetView workbookViewId="0">
      <selection activeCell="N21" sqref="N21"/>
    </sheetView>
  </sheetViews>
  <sheetFormatPr defaultRowHeight="14.4" x14ac:dyDescent="0.3"/>
  <cols>
    <col min="4" max="4" width="9.33203125" customWidth="1"/>
    <col min="7" max="7" width="9.6640625" customWidth="1"/>
    <col min="9" max="9" width="9.5546875" customWidth="1"/>
    <col min="13" max="13" width="9.6640625" customWidth="1"/>
  </cols>
  <sheetData>
    <row r="5" spans="1:16" x14ac:dyDescent="0.3">
      <c r="A5" s="54" t="s">
        <v>67</v>
      </c>
      <c r="B5" s="54" t="s">
        <v>68</v>
      </c>
      <c r="C5" s="54" t="s">
        <v>69</v>
      </c>
      <c r="D5" s="54" t="s">
        <v>70</v>
      </c>
    </row>
    <row r="6" spans="1:16" x14ac:dyDescent="0.3">
      <c r="A6" s="54">
        <v>1</v>
      </c>
      <c r="B6" s="54">
        <v>50</v>
      </c>
      <c r="C6" s="54">
        <v>55</v>
      </c>
      <c r="D6" s="54">
        <f>C6-B6</f>
        <v>5</v>
      </c>
      <c r="M6" s="38"/>
      <c r="N6" s="38"/>
      <c r="O6" s="38"/>
      <c r="P6" s="38"/>
    </row>
    <row r="7" spans="1:16" x14ac:dyDescent="0.3">
      <c r="A7" s="54">
        <v>2</v>
      </c>
      <c r="B7" s="54">
        <v>60</v>
      </c>
      <c r="C7" s="54">
        <v>65</v>
      </c>
      <c r="D7" s="54">
        <f t="shared" ref="D7:D11" si="0">C7-B7</f>
        <v>5</v>
      </c>
      <c r="E7" s="104" t="s">
        <v>86</v>
      </c>
      <c r="M7" s="24"/>
      <c r="N7" s="24"/>
      <c r="O7" s="24"/>
      <c r="P7" s="38"/>
    </row>
    <row r="8" spans="1:16" x14ac:dyDescent="0.3">
      <c r="A8" s="54">
        <v>3</v>
      </c>
      <c r="B8" s="54">
        <v>58</v>
      </c>
      <c r="C8" s="54">
        <v>59</v>
      </c>
      <c r="D8" s="54">
        <f t="shared" si="0"/>
        <v>1</v>
      </c>
      <c r="E8" s="96" t="s">
        <v>87</v>
      </c>
      <c r="F8" s="97"/>
      <c r="G8" s="98"/>
      <c r="M8" s="24"/>
      <c r="N8" s="24"/>
      <c r="O8" s="24"/>
      <c r="P8" s="38"/>
    </row>
    <row r="9" spans="1:16" x14ac:dyDescent="0.3">
      <c r="A9" s="54">
        <v>4</v>
      </c>
      <c r="B9" s="54">
        <v>55</v>
      </c>
      <c r="C9" s="54">
        <v>58</v>
      </c>
      <c r="D9" s="54">
        <f t="shared" si="0"/>
        <v>3</v>
      </c>
      <c r="E9" s="105" t="s">
        <v>88</v>
      </c>
      <c r="F9" s="100"/>
      <c r="G9" s="101"/>
      <c r="M9" s="38"/>
      <c r="N9" s="38"/>
      <c r="O9" s="38"/>
      <c r="P9" s="38"/>
    </row>
    <row r="10" spans="1:16" x14ac:dyDescent="0.3">
      <c r="A10" s="54">
        <v>5</v>
      </c>
      <c r="B10" s="54">
        <v>62</v>
      </c>
      <c r="C10" s="54">
        <v>63</v>
      </c>
      <c r="D10" s="54">
        <f t="shared" si="0"/>
        <v>1</v>
      </c>
      <c r="M10" s="38"/>
      <c r="N10" s="38"/>
      <c r="O10" s="38"/>
      <c r="P10" s="39"/>
    </row>
    <row r="11" spans="1:16" x14ac:dyDescent="0.3">
      <c r="A11" s="54">
        <v>6</v>
      </c>
      <c r="B11" s="54">
        <v>56</v>
      </c>
      <c r="C11" s="54">
        <v>59</v>
      </c>
      <c r="D11" s="55">
        <f t="shared" si="0"/>
        <v>3</v>
      </c>
      <c r="I11" s="103" t="s">
        <v>91</v>
      </c>
    </row>
    <row r="12" spans="1:16" x14ac:dyDescent="0.3">
      <c r="C12" s="104" t="s">
        <v>6</v>
      </c>
      <c r="D12" s="56" t="s">
        <v>71</v>
      </c>
      <c r="E12" s="57"/>
      <c r="I12" s="80" t="s">
        <v>80</v>
      </c>
      <c r="J12" s="81"/>
      <c r="K12" s="81"/>
      <c r="L12" s="81" t="s">
        <v>79</v>
      </c>
      <c r="M12" s="82"/>
    </row>
    <row r="13" spans="1:16" x14ac:dyDescent="0.3">
      <c r="D13" s="58">
        <f>AVERAGE(D6:D11)</f>
        <v>3</v>
      </c>
      <c r="E13" s="59"/>
      <c r="I13" s="83">
        <v>2.5710000000000002</v>
      </c>
      <c r="J13" s="84"/>
      <c r="K13" s="84" t="s">
        <v>22</v>
      </c>
      <c r="L13" s="84">
        <f>3/B22</f>
        <v>4.1079191812887457</v>
      </c>
      <c r="M13" s="85"/>
    </row>
    <row r="14" spans="1:16" x14ac:dyDescent="0.3">
      <c r="C14" s="104" t="s">
        <v>44</v>
      </c>
      <c r="D14" s="60" t="s">
        <v>72</v>
      </c>
      <c r="E14" s="61"/>
      <c r="I14" s="102" t="s">
        <v>85</v>
      </c>
    </row>
    <row r="15" spans="1:16" x14ac:dyDescent="0.3">
      <c r="A15" s="30" t="s">
        <v>78</v>
      </c>
      <c r="B15" s="31">
        <v>6</v>
      </c>
      <c r="D15" s="62">
        <f>_xlfn.STDEV.S(D6:D11)</f>
        <v>1.7888543819998317</v>
      </c>
      <c r="E15" s="63"/>
      <c r="I15" s="86" t="s">
        <v>81</v>
      </c>
      <c r="J15" s="87"/>
      <c r="K15" s="87"/>
      <c r="L15" s="87"/>
      <c r="M15" s="87"/>
      <c r="N15" s="88"/>
    </row>
    <row r="16" spans="1:16" x14ac:dyDescent="0.3">
      <c r="A16" s="104" t="s">
        <v>89</v>
      </c>
      <c r="I16" s="89" t="s">
        <v>84</v>
      </c>
      <c r="J16" s="90"/>
      <c r="K16" s="90"/>
      <c r="L16" s="90"/>
      <c r="M16" s="90"/>
      <c r="N16" s="91"/>
    </row>
    <row r="17" spans="1:12" x14ac:dyDescent="0.3">
      <c r="A17" s="64" t="s">
        <v>74</v>
      </c>
      <c r="B17" s="65" t="s">
        <v>73</v>
      </c>
      <c r="C17" s="65"/>
      <c r="D17" s="65"/>
      <c r="E17" s="66"/>
      <c r="L17" s="53"/>
    </row>
    <row r="18" spans="1:12" x14ac:dyDescent="0.3">
      <c r="A18" s="67"/>
      <c r="B18" s="68">
        <f>3/B22</f>
        <v>4.1079191812887457</v>
      </c>
      <c r="C18" s="68"/>
      <c r="D18" s="68"/>
      <c r="E18" s="69"/>
      <c r="I18" s="52"/>
    </row>
    <row r="20" spans="1:12" x14ac:dyDescent="0.3">
      <c r="A20" s="70" t="s">
        <v>75</v>
      </c>
      <c r="B20" s="71"/>
      <c r="C20" s="71"/>
      <c r="D20" s="72"/>
    </row>
    <row r="22" spans="1:12" x14ac:dyDescent="0.3">
      <c r="A22" s="73" t="s">
        <v>76</v>
      </c>
      <c r="B22" s="74">
        <f>D15/SQRT(6)</f>
        <v>0.73029674334022154</v>
      </c>
    </row>
    <row r="23" spans="1:12" x14ac:dyDescent="0.3">
      <c r="A23" s="104" t="s">
        <v>90</v>
      </c>
    </row>
    <row r="24" spans="1:12" x14ac:dyDescent="0.3">
      <c r="A24" s="75" t="s">
        <v>77</v>
      </c>
      <c r="B24" s="76">
        <v>0.05</v>
      </c>
    </row>
    <row r="25" spans="1:12" x14ac:dyDescent="0.3">
      <c r="A25" s="77" t="s">
        <v>58</v>
      </c>
      <c r="B25" s="78"/>
      <c r="C25" s="78" t="s">
        <v>18</v>
      </c>
      <c r="D25" s="79">
        <f>B15-1</f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A82C-5BCD-4510-BBAF-7526E691B04B}">
  <dimension ref="A6:S26"/>
  <sheetViews>
    <sheetView workbookViewId="0">
      <selection activeCell="G9" sqref="G9"/>
    </sheetView>
  </sheetViews>
  <sheetFormatPr defaultRowHeight="14.4" x14ac:dyDescent="0.3"/>
  <cols>
    <col min="14" max="14" width="9.6640625" customWidth="1"/>
  </cols>
  <sheetData>
    <row r="6" spans="1:18" ht="15.6" x14ac:dyDescent="0.3">
      <c r="A6" s="36" t="s">
        <v>25</v>
      </c>
      <c r="B6" s="36" t="s">
        <v>26</v>
      </c>
      <c r="C6" s="36" t="s">
        <v>27</v>
      </c>
      <c r="D6" s="5" t="s">
        <v>28</v>
      </c>
      <c r="L6" s="47" t="s">
        <v>44</v>
      </c>
      <c r="M6" s="48" t="s">
        <v>45</v>
      </c>
      <c r="N6" s="49"/>
    </row>
    <row r="7" spans="1:18" x14ac:dyDescent="0.3">
      <c r="A7" s="32" t="s">
        <v>29</v>
      </c>
      <c r="B7" s="32">
        <v>30</v>
      </c>
      <c r="C7" s="32">
        <v>20</v>
      </c>
      <c r="D7" s="5">
        <v>50</v>
      </c>
    </row>
    <row r="8" spans="1:18" ht="18" x14ac:dyDescent="0.35">
      <c r="A8" s="32" t="s">
        <v>30</v>
      </c>
      <c r="B8" s="32">
        <v>10</v>
      </c>
      <c r="C8" s="32">
        <v>40</v>
      </c>
      <c r="D8" s="5">
        <v>50</v>
      </c>
      <c r="L8" s="50" t="s">
        <v>46</v>
      </c>
      <c r="M8" s="21"/>
      <c r="N8" s="20"/>
    </row>
    <row r="9" spans="1:18" x14ac:dyDescent="0.3">
      <c r="A9" s="5" t="s">
        <v>31</v>
      </c>
      <c r="B9" s="5">
        <v>40</v>
      </c>
      <c r="C9" s="5">
        <v>60</v>
      </c>
      <c r="D9" s="37">
        <v>100</v>
      </c>
      <c r="L9" t="s">
        <v>47</v>
      </c>
    </row>
    <row r="10" spans="1:18" x14ac:dyDescent="0.3">
      <c r="A10" s="33" t="s">
        <v>32</v>
      </c>
      <c r="B10" s="34"/>
      <c r="C10" s="35"/>
      <c r="L10" t="s">
        <v>48</v>
      </c>
      <c r="M10" t="s">
        <v>50</v>
      </c>
    </row>
    <row r="11" spans="1:18" x14ac:dyDescent="0.3">
      <c r="L11" t="s">
        <v>49</v>
      </c>
      <c r="M11" t="s">
        <v>40</v>
      </c>
    </row>
    <row r="12" spans="1:18" x14ac:dyDescent="0.3">
      <c r="A12" s="26" t="s">
        <v>33</v>
      </c>
      <c r="B12" s="21" t="s">
        <v>1</v>
      </c>
      <c r="C12" s="20"/>
      <c r="N12" s="92" t="s">
        <v>49</v>
      </c>
      <c r="O12" s="93" t="s">
        <v>48</v>
      </c>
      <c r="P12" s="93" t="s">
        <v>55</v>
      </c>
      <c r="Q12" s="93" t="s">
        <v>56</v>
      </c>
      <c r="R12" s="94" t="s">
        <v>57</v>
      </c>
    </row>
    <row r="13" spans="1:18" x14ac:dyDescent="0.3">
      <c r="L13" s="95" t="s">
        <v>51</v>
      </c>
      <c r="M13" s="95"/>
      <c r="N13" s="37">
        <v>20</v>
      </c>
      <c r="O13" s="37">
        <v>30</v>
      </c>
      <c r="P13" s="5">
        <f>$O13-$N13</f>
        <v>10</v>
      </c>
      <c r="Q13" s="5">
        <f>$P13^2</f>
        <v>100</v>
      </c>
      <c r="R13" s="5">
        <f>$Q13/$N13</f>
        <v>5</v>
      </c>
    </row>
    <row r="14" spans="1:18" x14ac:dyDescent="0.3">
      <c r="A14" t="s">
        <v>34</v>
      </c>
      <c r="B14" t="s">
        <v>35</v>
      </c>
      <c r="L14" s="95" t="s">
        <v>53</v>
      </c>
      <c r="M14" s="95"/>
      <c r="N14" s="37">
        <v>30</v>
      </c>
      <c r="O14" s="37">
        <v>20</v>
      </c>
      <c r="P14" s="5">
        <f t="shared" ref="P14:P16" si="0">$O14-$N14</f>
        <v>-10</v>
      </c>
      <c r="Q14" s="5">
        <f t="shared" ref="Q14:Q16" si="1">$P14^2</f>
        <v>100</v>
      </c>
      <c r="R14" s="5">
        <f t="shared" ref="R14:R16" si="2">$Q14/$N14</f>
        <v>3.3333333333333335</v>
      </c>
    </row>
    <row r="15" spans="1:18" x14ac:dyDescent="0.3">
      <c r="A15" t="s">
        <v>36</v>
      </c>
      <c r="B15" t="s">
        <v>37</v>
      </c>
      <c r="L15" s="95" t="s">
        <v>52</v>
      </c>
      <c r="M15" s="95"/>
      <c r="N15" s="37">
        <v>20</v>
      </c>
      <c r="O15" s="37">
        <v>10</v>
      </c>
      <c r="P15" s="5">
        <f t="shared" si="0"/>
        <v>-10</v>
      </c>
      <c r="Q15" s="5">
        <f t="shared" si="1"/>
        <v>100</v>
      </c>
      <c r="R15" s="5">
        <f t="shared" si="2"/>
        <v>5</v>
      </c>
    </row>
    <row r="16" spans="1:18" x14ac:dyDescent="0.3">
      <c r="L16" s="95" t="s">
        <v>54</v>
      </c>
      <c r="M16" s="95"/>
      <c r="N16" s="37">
        <v>30</v>
      </c>
      <c r="O16" s="37">
        <v>40</v>
      </c>
      <c r="P16" s="5">
        <f t="shared" si="0"/>
        <v>10</v>
      </c>
      <c r="Q16" s="5">
        <f t="shared" si="1"/>
        <v>100</v>
      </c>
      <c r="R16" s="5">
        <f t="shared" si="2"/>
        <v>3.3333333333333335</v>
      </c>
    </row>
    <row r="17" spans="1:19" x14ac:dyDescent="0.3">
      <c r="A17" s="26" t="s">
        <v>38</v>
      </c>
      <c r="B17" s="21" t="s">
        <v>39</v>
      </c>
      <c r="C17" s="20"/>
      <c r="R17" s="51">
        <f>SUM(R13:R16)</f>
        <v>16.666666666666668</v>
      </c>
    </row>
    <row r="18" spans="1:19" x14ac:dyDescent="0.3">
      <c r="L18" s="26" t="s">
        <v>60</v>
      </c>
      <c r="M18" s="21" t="s">
        <v>58</v>
      </c>
      <c r="N18" s="20"/>
    </row>
    <row r="19" spans="1:19" x14ac:dyDescent="0.3">
      <c r="A19" s="44" t="s">
        <v>40</v>
      </c>
      <c r="B19" s="45" t="s">
        <v>41</v>
      </c>
      <c r="C19" s="45"/>
      <c r="D19" s="45"/>
      <c r="E19" s="46"/>
      <c r="L19" t="s">
        <v>59</v>
      </c>
    </row>
    <row r="20" spans="1:19" x14ac:dyDescent="0.3">
      <c r="L20" s="26" t="s">
        <v>19</v>
      </c>
      <c r="M20" s="20">
        <f>(2-1)*(2-1)</f>
        <v>1</v>
      </c>
    </row>
    <row r="21" spans="1:19" x14ac:dyDescent="0.3">
      <c r="A21" s="5" t="s">
        <v>42</v>
      </c>
      <c r="B21" s="5" t="s">
        <v>25</v>
      </c>
      <c r="C21" s="5" t="s">
        <v>26</v>
      </c>
      <c r="D21" s="5" t="s">
        <v>27</v>
      </c>
      <c r="E21" s="5" t="s">
        <v>28</v>
      </c>
      <c r="G21" s="40" t="s">
        <v>43</v>
      </c>
      <c r="H21" s="40" t="s">
        <v>25</v>
      </c>
      <c r="I21" s="40" t="s">
        <v>26</v>
      </c>
      <c r="J21" s="40" t="s">
        <v>27</v>
      </c>
    </row>
    <row r="22" spans="1:19" x14ac:dyDescent="0.3">
      <c r="A22" s="32"/>
      <c r="B22" s="32" t="s">
        <v>29</v>
      </c>
      <c r="C22" s="42">
        <v>30</v>
      </c>
      <c r="D22" s="42">
        <v>20</v>
      </c>
      <c r="E22" s="43">
        <v>50</v>
      </c>
      <c r="G22" s="32"/>
      <c r="H22" s="32" t="s">
        <v>29</v>
      </c>
      <c r="I22" s="41">
        <f>50*40/100</f>
        <v>20</v>
      </c>
      <c r="J22" s="41">
        <f>(D24*E23)/E24</f>
        <v>30</v>
      </c>
      <c r="L22" t="s">
        <v>16</v>
      </c>
      <c r="M22">
        <v>0.05</v>
      </c>
      <c r="O22" s="6" t="s">
        <v>63</v>
      </c>
      <c r="P22" s="7"/>
      <c r="Q22" s="7"/>
      <c r="R22" s="7" t="s">
        <v>62</v>
      </c>
      <c r="S22" s="8"/>
    </row>
    <row r="23" spans="1:19" x14ac:dyDescent="0.3">
      <c r="A23" s="32"/>
      <c r="B23" s="32" t="s">
        <v>30</v>
      </c>
      <c r="C23" s="42">
        <v>10</v>
      </c>
      <c r="D23" s="42">
        <v>40</v>
      </c>
      <c r="E23" s="43">
        <v>50</v>
      </c>
      <c r="G23" s="32"/>
      <c r="H23" s="32" t="s">
        <v>30</v>
      </c>
      <c r="I23" s="41">
        <f>50*40/100</f>
        <v>20</v>
      </c>
      <c r="J23" s="41">
        <f>(D24*E23)/E24</f>
        <v>30</v>
      </c>
      <c r="L23" t="s">
        <v>61</v>
      </c>
      <c r="M23">
        <v>1</v>
      </c>
      <c r="O23" s="9">
        <f>SUM(R13:R16)</f>
        <v>16.666666666666668</v>
      </c>
      <c r="P23" s="10"/>
      <c r="Q23" s="10" t="s">
        <v>64</v>
      </c>
      <c r="R23" s="10">
        <v>3.8410000000000002</v>
      </c>
      <c r="S23" s="11"/>
    </row>
    <row r="24" spans="1:19" x14ac:dyDescent="0.3">
      <c r="A24" s="32"/>
      <c r="B24" s="32" t="s">
        <v>28</v>
      </c>
      <c r="C24" s="43">
        <v>40</v>
      </c>
      <c r="D24" s="43">
        <v>60</v>
      </c>
      <c r="E24" s="37">
        <v>100</v>
      </c>
    </row>
    <row r="25" spans="1:19" x14ac:dyDescent="0.3">
      <c r="O25" s="96" t="s">
        <v>66</v>
      </c>
      <c r="P25" s="97"/>
      <c r="Q25" s="97"/>
      <c r="R25" s="98"/>
    </row>
    <row r="26" spans="1:19" x14ac:dyDescent="0.3">
      <c r="O26" s="99" t="s">
        <v>65</v>
      </c>
      <c r="P26" s="100"/>
      <c r="Q26" s="100"/>
      <c r="R26" s="10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Ques1,2,3,4</vt:lpstr>
      <vt:lpstr>Ques 5,6</vt:lpstr>
      <vt:lpstr>Ques 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2026-01-13T07:19:30Z</dcterms:created>
  <dcterms:modified xsi:type="dcterms:W3CDTF">2026-01-13T14:35:17Z</dcterms:modified>
</cp:coreProperties>
</file>