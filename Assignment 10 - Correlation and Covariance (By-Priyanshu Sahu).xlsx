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uh\OneDrive\Desktop\Data Analytics By Pw\Statistics Day 5\Assignmnet 10-Corelation And Covariance\"/>
    </mc:Choice>
  </mc:AlternateContent>
  <xr:revisionPtr revIDLastSave="0" documentId="8_{E7317C6D-2216-473A-85B8-E89F6672A3D3}" xr6:coauthVersionLast="47" xr6:coauthVersionMax="47" xr10:uidLastSave="{00000000-0000-0000-0000-000000000000}"/>
  <bookViews>
    <workbookView xWindow="-108" yWindow="-108" windowWidth="23256" windowHeight="12456" xr2:uid="{24961B78-1584-43D6-9354-610CBB679045}"/>
  </bookViews>
  <sheets>
    <sheet name="Ques 6,7" sheetId="1" r:id="rId1"/>
    <sheet name="Ques 8,9" sheetId="2" r:id="rId2"/>
    <sheet name="Ques 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3" l="1"/>
  <c r="E9" i="3"/>
  <c r="P9" i="2"/>
  <c r="D14" i="2"/>
  <c r="F10" i="2"/>
  <c r="F9" i="2"/>
  <c r="O14" i="1"/>
  <c r="P10" i="1"/>
  <c r="O10" i="1"/>
  <c r="E23" i="1"/>
  <c r="C21" i="1"/>
  <c r="E20" i="1"/>
  <c r="E8" i="1"/>
  <c r="E9" i="1"/>
  <c r="E10" i="1"/>
  <c r="E7" i="1"/>
  <c r="D8" i="1"/>
  <c r="D9" i="1"/>
  <c r="D10" i="1"/>
  <c r="D7" i="1"/>
  <c r="C8" i="1"/>
  <c r="C9" i="1"/>
  <c r="C10" i="1"/>
  <c r="C7" i="1"/>
  <c r="C15" i="1"/>
  <c r="C14" i="1"/>
  <c r="C13" i="1"/>
  <c r="C12" i="1"/>
</calcChain>
</file>

<file path=xl/sharedStrings.xml><?xml version="1.0" encoding="utf-8"?>
<sst xmlns="http://schemas.openxmlformats.org/spreadsheetml/2006/main" count="52" uniqueCount="49">
  <si>
    <t>X</t>
  </si>
  <si>
    <t>Y</t>
  </si>
  <si>
    <t>Mean of X</t>
  </si>
  <si>
    <t>Mean of y</t>
  </si>
  <si>
    <t>Xbar</t>
  </si>
  <si>
    <t>Ybar</t>
  </si>
  <si>
    <t>std of X</t>
  </si>
  <si>
    <t>std of Y</t>
  </si>
  <si>
    <t>cov(x,y)</t>
  </si>
  <si>
    <t>summation(x-xbar)(y-ybar)/n-1</t>
  </si>
  <si>
    <t>Formula</t>
  </si>
  <si>
    <t>X-Xbar</t>
  </si>
  <si>
    <t>Y-Ybar</t>
  </si>
  <si>
    <t>summation(x-xbar)(y-ybar)</t>
  </si>
  <si>
    <t>(X-Xbar)(Y-Ybar)</t>
  </si>
  <si>
    <t>n-1</t>
  </si>
  <si>
    <t>A</t>
  </si>
  <si>
    <t>B</t>
  </si>
  <si>
    <t>Mean A</t>
  </si>
  <si>
    <t>Mean B</t>
  </si>
  <si>
    <t>Height</t>
  </si>
  <si>
    <t>Weight</t>
  </si>
  <si>
    <t>Year</t>
  </si>
  <si>
    <t>Portfolio A</t>
  </si>
  <si>
    <t>Portfolio B</t>
  </si>
  <si>
    <t>By increasing x , y is also increasing :</t>
  </si>
  <si>
    <t>Hence, covariance is positive</t>
  </si>
  <si>
    <t>Sum</t>
  </si>
  <si>
    <t>Average</t>
  </si>
  <si>
    <t>Running Total</t>
  </si>
  <si>
    <t>Count</t>
  </si>
  <si>
    <t>Step 1 : Calcualte mean</t>
  </si>
  <si>
    <t>This indicates a very strong positive linear relationship</t>
  </si>
  <si>
    <t>between variable a and b.</t>
  </si>
  <si>
    <t>Step 2 : Calculate Correaltion</t>
  </si>
  <si>
    <t>Step 1 : Calcualte Mean Of Height and Weight</t>
  </si>
  <si>
    <t>Mean Of Height</t>
  </si>
  <si>
    <t>Mean of Weight</t>
  </si>
  <si>
    <t>Step 2: Calculate correaltion</t>
  </si>
  <si>
    <t>A height increases and Weight Also Increses</t>
  </si>
  <si>
    <t>hence , there is a strong positive correlation between</t>
  </si>
  <si>
    <t>height and weight of students .</t>
  </si>
  <si>
    <t>As x increasing ,y decreasing,</t>
  </si>
  <si>
    <t>hence there is a strong negative correlation between x and y.</t>
  </si>
  <si>
    <t>Covariance</t>
  </si>
  <si>
    <t>Correaltion</t>
  </si>
  <si>
    <t>coefficient</t>
  </si>
  <si>
    <t>since the correlation coefficient is 0.986</t>
  </si>
  <si>
    <t>the two portfolios move toghether strongly in a positive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</si>
</sst>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1" xfId="0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12" borderId="0" xfId="0" applyFont="1" applyFill="1" applyBorder="1" applyAlignment="1">
      <alignment vertical="center"/>
    </xf>
    <xf numFmtId="0" fontId="0" fillId="12" borderId="0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wrapText="1"/>
    </xf>
    <xf numFmtId="0" fontId="0" fillId="7" borderId="0" xfId="0" applyFill="1" applyBorder="1" applyAlignment="1">
      <alignment vertical="center"/>
    </xf>
    <xf numFmtId="0" fontId="0" fillId="7" borderId="0" xfId="0" applyFill="1" applyBorder="1" applyAlignment="1">
      <alignment wrapText="1"/>
    </xf>
    <xf numFmtId="0" fontId="0" fillId="7" borderId="0" xfId="0" applyFont="1" applyFill="1" applyBorder="1" applyAlignment="1">
      <alignment vertical="center"/>
    </xf>
    <xf numFmtId="0" fontId="0" fillId="7" borderId="0" xfId="0" applyFont="1" applyFill="1" applyBorder="1" applyAlignment="1">
      <alignment wrapText="1"/>
    </xf>
    <xf numFmtId="0" fontId="0" fillId="13" borderId="0" xfId="0" applyFill="1"/>
    <xf numFmtId="0" fontId="0" fillId="8" borderId="1" xfId="0" applyFill="1" applyBorder="1"/>
    <xf numFmtId="0" fontId="2" fillId="6" borderId="0" xfId="0" applyFont="1" applyFill="1" applyBorder="1" applyAlignment="1">
      <alignment vertical="center"/>
    </xf>
    <xf numFmtId="0" fontId="0" fillId="6" borderId="0" xfId="0" applyFill="1" applyBorder="1" applyAlignment="1">
      <alignment wrapText="1"/>
    </xf>
    <xf numFmtId="0" fontId="0" fillId="14" borderId="0" xfId="0" applyFill="1"/>
    <xf numFmtId="0" fontId="0" fillId="0" borderId="1" xfId="0" applyFont="1" applyBorder="1" applyAlignment="1">
      <alignment wrapText="1"/>
    </xf>
    <xf numFmtId="0" fontId="2" fillId="14" borderId="0" xfId="0" applyFont="1" applyFill="1" applyBorder="1" applyAlignment="1">
      <alignment vertical="center"/>
    </xf>
    <xf numFmtId="0" fontId="0" fillId="14" borderId="0" xfId="0" applyFill="1" applyBorder="1" applyAlignment="1">
      <alignment wrapText="1"/>
    </xf>
    <xf numFmtId="0" fontId="0" fillId="15" borderId="1" xfId="0" applyFill="1" applyBorder="1"/>
    <xf numFmtId="0" fontId="0" fillId="15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7620</xdr:rowOff>
    </xdr:from>
    <xdr:to>
      <xdr:col>9</xdr:col>
      <xdr:colOff>601980</xdr:colOff>
      <xdr:row>3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AB40B0-8E92-A96D-3DA6-F04311AE0270}"/>
            </a:ext>
          </a:extLst>
        </xdr:cNvPr>
        <xdr:cNvSpPr txBox="1"/>
      </xdr:nvSpPr>
      <xdr:spPr>
        <a:xfrm>
          <a:off x="22860" y="7620"/>
          <a:ext cx="6065520" cy="71628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Ques 6:. Using the dataset below, calculate the covariance between X and Y.</a:t>
          </a:r>
        </a:p>
      </xdr:txBody>
    </xdr:sp>
    <xdr:clientData/>
  </xdr:twoCellAnchor>
  <xdr:twoCellAnchor>
    <xdr:from>
      <xdr:col>11</xdr:col>
      <xdr:colOff>30480</xdr:colOff>
      <xdr:row>0</xdr:row>
      <xdr:rowOff>7620</xdr:rowOff>
    </xdr:from>
    <xdr:to>
      <xdr:col>20</xdr:col>
      <xdr:colOff>586740</xdr:colOff>
      <xdr:row>4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677D37-9C50-2DE9-F040-27A7D51AA7CB}"/>
            </a:ext>
          </a:extLst>
        </xdr:cNvPr>
        <xdr:cNvSpPr txBox="1"/>
      </xdr:nvSpPr>
      <xdr:spPr>
        <a:xfrm>
          <a:off x="7147560" y="7620"/>
          <a:ext cx="6042660" cy="7620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Ques7: Compute the Pearson correlation coefficient between variables A and B: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9</xdr:col>
      <xdr:colOff>579120</xdr:colOff>
      <xdr:row>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CB52B3-328D-1156-0089-2CBEB66C822E}"/>
            </a:ext>
          </a:extLst>
        </xdr:cNvPr>
        <xdr:cNvSpPr txBox="1"/>
      </xdr:nvSpPr>
      <xdr:spPr>
        <a:xfrm>
          <a:off x="7620" y="7620"/>
          <a:ext cx="6057900" cy="8763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Ques 8 :The following table shows heights (in cm) and weights (in kg) of 5 students.  Find the correlation coefficient between Height and Weight.</a:t>
          </a:r>
        </a:p>
      </xdr:txBody>
    </xdr:sp>
    <xdr:clientData/>
  </xdr:twoCellAnchor>
  <xdr:twoCellAnchor>
    <xdr:from>
      <xdr:col>12</xdr:col>
      <xdr:colOff>7620</xdr:colOff>
      <xdr:row>0</xdr:row>
      <xdr:rowOff>30480</xdr:rowOff>
    </xdr:from>
    <xdr:to>
      <xdr:col>22</xdr:col>
      <xdr:colOff>556260</xdr:colOff>
      <xdr:row>5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7C5D84-27A0-BB37-C7AC-C832FA0B10E1}"/>
            </a:ext>
          </a:extLst>
        </xdr:cNvPr>
        <xdr:cNvSpPr txBox="1"/>
      </xdr:nvSpPr>
      <xdr:spPr>
        <a:xfrm>
          <a:off x="7322820" y="30480"/>
          <a:ext cx="6644640" cy="9906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Ques 9:Given the dataset below, determine whether there is a positive or negative correlation between X and Y.  (No need for exact calculation, just reasoning.)</a:t>
          </a:r>
        </a:p>
        <a:p>
          <a:endParaRPr lang="en-IN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22860</xdr:rowOff>
    </xdr:from>
    <xdr:to>
      <xdr:col>10</xdr:col>
      <xdr:colOff>7620</xdr:colOff>
      <xdr:row>5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EEAB75-1E65-9E4B-994F-CAAD61B7B9C1}"/>
            </a:ext>
          </a:extLst>
        </xdr:cNvPr>
        <xdr:cNvSpPr txBox="1"/>
      </xdr:nvSpPr>
      <xdr:spPr>
        <a:xfrm>
          <a:off x="22860" y="22860"/>
          <a:ext cx="6080760" cy="952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Ques 10: Two investment portfolios have the following returns (%) over 5 years. Compute the covariance and correlation coefficient, and interpret whether the portfolios move together.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C10C-B119-4B1A-AE5D-D402ADDC048F}">
  <dimension ref="A6:T27"/>
  <sheetViews>
    <sheetView tabSelected="1" zoomScale="96" workbookViewId="0">
      <selection activeCell="H12" sqref="H12"/>
    </sheetView>
  </sheetViews>
  <sheetFormatPr defaultRowHeight="14.4" x14ac:dyDescent="0.3"/>
  <cols>
    <col min="1" max="1" width="10.109375" customWidth="1"/>
    <col min="5" max="5" width="13.6640625" customWidth="1"/>
    <col min="15" max="15" width="10.109375" customWidth="1"/>
    <col min="16" max="16" width="9.44140625" customWidth="1"/>
  </cols>
  <sheetData>
    <row r="6" spans="1:20" x14ac:dyDescent="0.3">
      <c r="A6" s="9" t="s">
        <v>0</v>
      </c>
      <c r="B6" s="9" t="s">
        <v>1</v>
      </c>
      <c r="C6" s="10" t="s">
        <v>11</v>
      </c>
      <c r="D6" s="10" t="s">
        <v>12</v>
      </c>
      <c r="E6" s="11" t="s">
        <v>14</v>
      </c>
    </row>
    <row r="7" spans="1:20" x14ac:dyDescent="0.3">
      <c r="A7" s="9">
        <v>2</v>
      </c>
      <c r="B7" s="9">
        <v>3</v>
      </c>
      <c r="C7" s="12">
        <f>$A7-$C$12</f>
        <v>-3</v>
      </c>
      <c r="D7" s="12">
        <f>$B7-$C$13</f>
        <v>-3.25</v>
      </c>
      <c r="E7" s="13">
        <f>$C7*$D7</f>
        <v>9.75</v>
      </c>
      <c r="L7" s="9" t="s">
        <v>16</v>
      </c>
      <c r="M7" s="9" t="s">
        <v>17</v>
      </c>
      <c r="N7" s="17"/>
      <c r="O7" s="17"/>
      <c r="P7" s="18"/>
      <c r="Q7" s="18"/>
      <c r="R7" s="18"/>
    </row>
    <row r="8" spans="1:20" x14ac:dyDescent="0.3">
      <c r="A8" s="9">
        <v>4</v>
      </c>
      <c r="B8" s="9">
        <v>7</v>
      </c>
      <c r="C8" s="12">
        <f t="shared" ref="C8:C10" si="0">$A8-$C$12</f>
        <v>-1</v>
      </c>
      <c r="D8" s="12">
        <f t="shared" ref="D8:D10" si="1">$B8-$C$13</f>
        <v>0.75</v>
      </c>
      <c r="E8" s="13">
        <f t="shared" ref="E8:E10" si="2">$C8*$D8</f>
        <v>-0.75</v>
      </c>
      <c r="L8" s="9">
        <v>10</v>
      </c>
      <c r="M8" s="9">
        <v>8</v>
      </c>
      <c r="N8" s="17"/>
      <c r="O8" t="s">
        <v>31</v>
      </c>
      <c r="Q8" s="18"/>
      <c r="R8" s="18"/>
    </row>
    <row r="9" spans="1:20" x14ac:dyDescent="0.3">
      <c r="A9" s="9">
        <v>6</v>
      </c>
      <c r="B9" s="9">
        <v>5</v>
      </c>
      <c r="C9" s="12">
        <f t="shared" si="0"/>
        <v>1</v>
      </c>
      <c r="D9" s="12">
        <f t="shared" si="1"/>
        <v>-1.25</v>
      </c>
      <c r="E9" s="13">
        <f t="shared" si="2"/>
        <v>-1.25</v>
      </c>
      <c r="L9" s="9">
        <v>20</v>
      </c>
      <c r="M9" s="9">
        <v>14</v>
      </c>
      <c r="N9" s="17"/>
      <c r="O9" s="12" t="s">
        <v>18</v>
      </c>
      <c r="P9" s="12" t="s">
        <v>19</v>
      </c>
      <c r="Q9" s="18"/>
      <c r="R9" s="18"/>
    </row>
    <row r="10" spans="1:20" x14ac:dyDescent="0.3">
      <c r="A10" s="9">
        <v>8</v>
      </c>
      <c r="B10" s="9">
        <v>10</v>
      </c>
      <c r="C10" s="12">
        <f t="shared" si="0"/>
        <v>3</v>
      </c>
      <c r="D10" s="12">
        <f t="shared" si="1"/>
        <v>3.75</v>
      </c>
      <c r="E10" s="13">
        <f t="shared" si="2"/>
        <v>11.25</v>
      </c>
      <c r="L10" s="9">
        <v>30</v>
      </c>
      <c r="M10" s="9">
        <v>18</v>
      </c>
      <c r="N10" s="17"/>
      <c r="O10" s="12">
        <f>AVERAGE(L8:L12)</f>
        <v>30</v>
      </c>
      <c r="P10" s="12">
        <f>AVERAGE(M8:M12)</f>
        <v>18.399999999999999</v>
      </c>
      <c r="Q10" s="18"/>
      <c r="R10" s="18"/>
    </row>
    <row r="11" spans="1:20" x14ac:dyDescent="0.3">
      <c r="L11" s="9">
        <v>40</v>
      </c>
      <c r="M11" s="9">
        <v>24</v>
      </c>
      <c r="N11" s="17"/>
      <c r="O11" s="17"/>
      <c r="P11" s="18"/>
      <c r="Q11" s="18"/>
      <c r="R11" s="18"/>
    </row>
    <row r="12" spans="1:20" x14ac:dyDescent="0.3">
      <c r="A12" t="s">
        <v>4</v>
      </c>
      <c r="B12" s="8" t="s">
        <v>2</v>
      </c>
      <c r="C12" s="8">
        <f>AVERAGE(A7:A10)</f>
        <v>5</v>
      </c>
      <c r="L12" s="9">
        <v>50</v>
      </c>
      <c r="M12" s="9">
        <v>28</v>
      </c>
      <c r="N12" s="17"/>
      <c r="O12" s="17"/>
      <c r="P12" s="18"/>
      <c r="Q12" s="18"/>
      <c r="R12" s="18"/>
    </row>
    <row r="13" spans="1:20" x14ac:dyDescent="0.3">
      <c r="A13" t="s">
        <v>5</v>
      </c>
      <c r="B13" s="8" t="s">
        <v>3</v>
      </c>
      <c r="C13" s="8">
        <f>AVERAGE(B7:B10)</f>
        <v>6.25</v>
      </c>
      <c r="O13" t="s">
        <v>34</v>
      </c>
    </row>
    <row r="14" spans="1:20" x14ac:dyDescent="0.3">
      <c r="B14" s="3" t="s">
        <v>6</v>
      </c>
      <c r="C14" s="3">
        <f>_xlfn.STDEV.S(A7:A10)</f>
        <v>2.5819888974716112</v>
      </c>
      <c r="O14">
        <f>CORREL(L8:L12,M8:M12)</f>
        <v>0.99760860558452769</v>
      </c>
    </row>
    <row r="15" spans="1:20" x14ac:dyDescent="0.3">
      <c r="B15" s="3" t="s">
        <v>7</v>
      </c>
      <c r="C15" s="3">
        <f>_xlfn.STDEV.S(B7:B10)</f>
        <v>2.9860788111948193</v>
      </c>
    </row>
    <row r="16" spans="1:20" x14ac:dyDescent="0.3">
      <c r="O16" s="20" t="s">
        <v>32</v>
      </c>
      <c r="P16" s="21"/>
      <c r="Q16" s="21"/>
      <c r="R16" s="21"/>
      <c r="S16" s="21"/>
      <c r="T16" s="19"/>
    </row>
    <row r="17" spans="1:20" ht="18" x14ac:dyDescent="0.35">
      <c r="A17" s="2" t="s">
        <v>10</v>
      </c>
      <c r="O17" s="20" t="s">
        <v>33</v>
      </c>
      <c r="P17" s="21"/>
      <c r="Q17" s="21"/>
      <c r="R17" s="21"/>
      <c r="S17" s="21"/>
      <c r="T17" s="19"/>
    </row>
    <row r="18" spans="1:20" ht="18" x14ac:dyDescent="0.35">
      <c r="A18" s="1" t="s">
        <v>8</v>
      </c>
      <c r="B18" s="1" t="s">
        <v>9</v>
      </c>
      <c r="C18" s="1"/>
      <c r="D18" s="1"/>
      <c r="E18" s="1"/>
    </row>
    <row r="20" spans="1:20" x14ac:dyDescent="0.3">
      <c r="B20" s="6" t="s">
        <v>13</v>
      </c>
      <c r="C20" s="6"/>
      <c r="D20" s="6"/>
      <c r="E20" s="6">
        <f>SUM(E7:E10)</f>
        <v>19</v>
      </c>
    </row>
    <row r="21" spans="1:20" x14ac:dyDescent="0.3">
      <c r="B21" s="7" t="s">
        <v>15</v>
      </c>
      <c r="C21" s="7">
        <f>4-1</f>
        <v>3</v>
      </c>
    </row>
    <row r="23" spans="1:20" x14ac:dyDescent="0.3">
      <c r="B23" s="4" t="s">
        <v>9</v>
      </c>
      <c r="C23" s="4"/>
      <c r="D23" s="4"/>
      <c r="E23" s="5">
        <f>E20/C21</f>
        <v>6.333333333333333</v>
      </c>
    </row>
    <row r="25" spans="1:20" x14ac:dyDescent="0.3">
      <c r="B25" s="14" t="s">
        <v>25</v>
      </c>
      <c r="C25" s="15"/>
      <c r="D25" s="15"/>
      <c r="E25" s="15"/>
    </row>
    <row r="26" spans="1:20" x14ac:dyDescent="0.3">
      <c r="B26" s="14" t="s">
        <v>26</v>
      </c>
      <c r="C26" s="15"/>
      <c r="D26" s="15"/>
      <c r="E26" s="15"/>
    </row>
    <row r="27" spans="1:20" x14ac:dyDescent="0.3">
      <c r="B27" s="16"/>
      <c r="C27" s="16"/>
      <c r="D27" s="16"/>
      <c r="E27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E3C2-3E49-4FB0-890E-B864B191844B}">
  <dimension ref="A6:W19"/>
  <sheetViews>
    <sheetView workbookViewId="0">
      <selection activeCell="O16" sqref="O16"/>
    </sheetView>
  </sheetViews>
  <sheetFormatPr defaultRowHeight="14.4" x14ac:dyDescent="0.3"/>
  <sheetData>
    <row r="6" spans="1:23" x14ac:dyDescent="0.3">
      <c r="A6" s="9" t="s">
        <v>20</v>
      </c>
      <c r="B6" s="9" t="s">
        <v>21</v>
      </c>
    </row>
    <row r="7" spans="1:23" x14ac:dyDescent="0.3">
      <c r="A7" s="9">
        <v>150</v>
      </c>
      <c r="B7" s="9">
        <v>50</v>
      </c>
      <c r="M7" s="9" t="s">
        <v>0</v>
      </c>
      <c r="N7" s="9" t="s">
        <v>1</v>
      </c>
    </row>
    <row r="8" spans="1:23" x14ac:dyDescent="0.3">
      <c r="A8" s="9">
        <v>160</v>
      </c>
      <c r="B8" s="9">
        <v>55</v>
      </c>
      <c r="D8" t="s">
        <v>35</v>
      </c>
      <c r="M8" s="9">
        <v>1</v>
      </c>
      <c r="N8" s="9">
        <v>15</v>
      </c>
    </row>
    <row r="9" spans="1:23" x14ac:dyDescent="0.3">
      <c r="A9" s="9">
        <v>165</v>
      </c>
      <c r="B9" s="9">
        <v>58</v>
      </c>
      <c r="D9" s="25" t="s">
        <v>36</v>
      </c>
      <c r="E9" s="25"/>
      <c r="F9" s="25">
        <f>AVERAGE(A7:A11)</f>
        <v>165</v>
      </c>
      <c r="M9" s="9">
        <v>2</v>
      </c>
      <c r="N9" s="9">
        <v>12</v>
      </c>
      <c r="P9" s="28">
        <f>CORREL(M8:M12,N8:N12)</f>
        <v>-0.99586408862799536</v>
      </c>
      <c r="R9" s="26" t="s">
        <v>42</v>
      </c>
      <c r="S9" s="27"/>
      <c r="T9" s="27"/>
      <c r="U9" s="27"/>
      <c r="V9" s="27"/>
      <c r="W9" s="27"/>
    </row>
    <row r="10" spans="1:23" x14ac:dyDescent="0.3">
      <c r="A10" s="9">
        <v>170</v>
      </c>
      <c r="B10" s="9">
        <v>62</v>
      </c>
      <c r="D10" s="25" t="s">
        <v>37</v>
      </c>
      <c r="E10" s="25"/>
      <c r="F10" s="25">
        <f>AVERAGE(B7:B11)</f>
        <v>59</v>
      </c>
      <c r="M10" s="9">
        <v>3</v>
      </c>
      <c r="N10" s="9">
        <v>9</v>
      </c>
      <c r="R10" s="26" t="s">
        <v>43</v>
      </c>
      <c r="S10" s="27"/>
      <c r="T10" s="27"/>
      <c r="U10" s="27"/>
      <c r="V10" s="27"/>
      <c r="W10" s="27"/>
    </row>
    <row r="11" spans="1:23" x14ac:dyDescent="0.3">
      <c r="A11" s="9">
        <v>180</v>
      </c>
      <c r="B11" s="9">
        <v>70</v>
      </c>
      <c r="M11" s="9">
        <v>4</v>
      </c>
      <c r="N11" s="9">
        <v>7</v>
      </c>
    </row>
    <row r="12" spans="1:23" x14ac:dyDescent="0.3">
      <c r="M12" s="9">
        <v>5</v>
      </c>
      <c r="N12" s="9">
        <v>3</v>
      </c>
    </row>
    <row r="13" spans="1:23" x14ac:dyDescent="0.3">
      <c r="D13" t="s">
        <v>38</v>
      </c>
    </row>
    <row r="14" spans="1:23" x14ac:dyDescent="0.3">
      <c r="D14">
        <f>CORREL(A7:A11,B7:B11)</f>
        <v>0.99218437024647965</v>
      </c>
    </row>
    <row r="16" spans="1:23" x14ac:dyDescent="0.3">
      <c r="D16" s="24" t="s">
        <v>39</v>
      </c>
      <c r="E16" s="24"/>
      <c r="F16" s="24"/>
      <c r="G16" s="24"/>
    </row>
    <row r="18" spans="4:9" x14ac:dyDescent="0.3">
      <c r="D18" s="22" t="s">
        <v>40</v>
      </c>
      <c r="E18" s="23"/>
      <c r="F18" s="23"/>
      <c r="G18" s="23"/>
      <c r="H18" s="23"/>
      <c r="I18" s="16"/>
    </row>
    <row r="19" spans="4:9" x14ac:dyDescent="0.3">
      <c r="D19" s="22" t="s">
        <v>41</v>
      </c>
      <c r="E19" s="23"/>
      <c r="F19" s="23"/>
      <c r="G19" s="23"/>
      <c r="H19" s="23"/>
      <c r="I19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7ADD-2F69-4FF5-9F07-B9BEB9013BD2}">
  <dimension ref="A7:M15"/>
  <sheetViews>
    <sheetView workbookViewId="0">
      <selection activeCell="H21" sqref="H21"/>
    </sheetView>
  </sheetViews>
  <sheetFormatPr defaultRowHeight="14.4" x14ac:dyDescent="0.3"/>
  <cols>
    <col min="2" max="3" width="9.77734375" bestFit="1" customWidth="1"/>
    <col min="5" max="5" width="10.5546875" customWidth="1"/>
  </cols>
  <sheetData>
    <row r="7" spans="1:13" x14ac:dyDescent="0.3">
      <c r="A7" s="12" t="s">
        <v>22</v>
      </c>
      <c r="B7" s="12" t="s">
        <v>23</v>
      </c>
      <c r="C7" s="12" t="s">
        <v>24</v>
      </c>
    </row>
    <row r="8" spans="1:13" x14ac:dyDescent="0.3">
      <c r="A8" s="9">
        <v>1</v>
      </c>
      <c r="B8" s="9">
        <v>8</v>
      </c>
      <c r="C8" s="9">
        <v>6</v>
      </c>
      <c r="E8" s="9" t="s">
        <v>44</v>
      </c>
    </row>
    <row r="9" spans="1:13" x14ac:dyDescent="0.3">
      <c r="A9" s="9">
        <v>2</v>
      </c>
      <c r="B9" s="9">
        <v>10</v>
      </c>
      <c r="C9" s="9">
        <v>9</v>
      </c>
      <c r="E9" s="32">
        <f>_xlfn.COVARIANCE.S(B8:B12,C8:C12)</f>
        <v>3</v>
      </c>
    </row>
    <row r="10" spans="1:13" x14ac:dyDescent="0.3">
      <c r="A10" s="9">
        <v>3</v>
      </c>
      <c r="B10" s="9">
        <v>12</v>
      </c>
      <c r="C10" s="9">
        <v>11</v>
      </c>
    </row>
    <row r="11" spans="1:13" x14ac:dyDescent="0.3">
      <c r="A11" s="9">
        <v>4</v>
      </c>
      <c r="B11" s="9">
        <v>9</v>
      </c>
      <c r="C11" s="9">
        <v>8</v>
      </c>
      <c r="E11" s="9" t="s">
        <v>45</v>
      </c>
    </row>
    <row r="12" spans="1:13" x14ac:dyDescent="0.3">
      <c r="A12" s="9">
        <v>5</v>
      </c>
      <c r="B12" s="9">
        <v>11</v>
      </c>
      <c r="C12" s="9">
        <v>10</v>
      </c>
      <c r="E12" s="32">
        <f>CORREL(B8:B12,C8:C12)</f>
        <v>0.98639392383214364</v>
      </c>
      <c r="G12" s="30" t="s">
        <v>47</v>
      </c>
      <c r="H12" s="31"/>
      <c r="I12" s="31"/>
      <c r="J12" s="31"/>
      <c r="K12" s="31"/>
      <c r="L12" s="31"/>
      <c r="M12" s="31"/>
    </row>
    <row r="13" spans="1:13" x14ac:dyDescent="0.3">
      <c r="G13" s="30" t="s">
        <v>48</v>
      </c>
      <c r="H13" s="31"/>
      <c r="I13" s="31"/>
      <c r="J13" s="31"/>
      <c r="K13" s="31"/>
      <c r="L13" s="31"/>
      <c r="M13" s="31"/>
    </row>
    <row r="14" spans="1:13" x14ac:dyDescent="0.3">
      <c r="E14" s="29" t="s">
        <v>46</v>
      </c>
      <c r="G14" s="31"/>
      <c r="H14" s="31"/>
      <c r="I14" s="31"/>
      <c r="J14" s="31"/>
      <c r="K14" s="31"/>
      <c r="L14" s="31"/>
      <c r="M14" s="31"/>
    </row>
    <row r="15" spans="1:13" x14ac:dyDescent="0.3">
      <c r="E15" s="33">
        <v>0.98599999999999999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 6,7</vt:lpstr>
      <vt:lpstr>Ques 8,9</vt:lpstr>
      <vt:lpstr>Ques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Sahu</dc:creator>
  <cp:lastModifiedBy>Priyanshu Sahu</cp:lastModifiedBy>
  <dcterms:created xsi:type="dcterms:W3CDTF">2026-01-16T12:51:46Z</dcterms:created>
  <dcterms:modified xsi:type="dcterms:W3CDTF">2026-01-18T06:41:47Z</dcterms:modified>
</cp:coreProperties>
</file>